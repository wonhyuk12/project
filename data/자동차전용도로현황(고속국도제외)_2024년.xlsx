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251AFD83-9948-40B8-94CD-C3AF6EF167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자동차전용도로현황(고속국도제외)" sheetId="4" r:id="rId1"/>
  </sheets>
  <definedNames>
    <definedName name="_xlnm._FilterDatabase" localSheetId="0" hidden="1">'자동차전용도로현황(고속국도제외)'!$A$3:$I$203</definedName>
    <definedName name="_xlnm.Print_Area" localSheetId="0">'자동차전용도로현황(고속국도제외)'!$A$1:$F$239</definedName>
    <definedName name="_xlnm.Print_Titles" localSheetId="0">'자동차전용도로현황(고속국도제외)'!$2:$3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4" l="1"/>
  <c r="D199" i="4" l="1"/>
  <c r="D186" i="4"/>
  <c r="D135" i="4"/>
  <c r="D4" i="4" l="1"/>
</calcChain>
</file>

<file path=xl/sharedStrings.xml><?xml version="1.0" encoding="utf-8"?>
<sst xmlns="http://schemas.openxmlformats.org/spreadsheetml/2006/main" count="891" uniqueCount="533">
  <si>
    <t>5,56호선</t>
  </si>
  <si>
    <t>7호선</t>
  </si>
  <si>
    <t>경남 양산시 동면 여락리~양산시 용당동</t>
  </si>
  <si>
    <t>24호선</t>
  </si>
  <si>
    <t>31호선</t>
  </si>
  <si>
    <t>부산광역시 기장군 일광면 이천리~울산광역시 울주군 온산읍 강양리</t>
  </si>
  <si>
    <t>19호선</t>
  </si>
  <si>
    <t>37호선</t>
  </si>
  <si>
    <t>97.06.13</t>
  </si>
  <si>
    <t>02.01.08</t>
  </si>
  <si>
    <t>42호선</t>
  </si>
  <si>
    <t>국대도</t>
  </si>
  <si>
    <t>43호선</t>
  </si>
  <si>
    <t>06.12.13</t>
  </si>
  <si>
    <t>3호선</t>
  </si>
  <si>
    <t>00.05.03</t>
  </si>
  <si>
    <t>46호선</t>
  </si>
  <si>
    <t>97.05.12</t>
  </si>
  <si>
    <t>98.09.24</t>
  </si>
  <si>
    <t>4~6</t>
  </si>
  <si>
    <t>07.10.26</t>
  </si>
  <si>
    <t>38호선</t>
  </si>
  <si>
    <t>04.10.07</t>
  </si>
  <si>
    <t>00.02.24</t>
  </si>
  <si>
    <t xml:space="preserve">17호선 </t>
  </si>
  <si>
    <t>01.09.29</t>
  </si>
  <si>
    <t>05.07.13</t>
  </si>
  <si>
    <t>21호선</t>
  </si>
  <si>
    <t>02.12.09</t>
  </si>
  <si>
    <t>25호선</t>
  </si>
  <si>
    <t>05.09.20</t>
  </si>
  <si>
    <t>36호선</t>
  </si>
  <si>
    <t>08.04.03</t>
  </si>
  <si>
    <t>39호선</t>
  </si>
  <si>
    <t>아산시 염치읍 곡교리-신창면 읍내리</t>
  </si>
  <si>
    <t>03.01.06</t>
  </si>
  <si>
    <t>08.01.03</t>
  </si>
  <si>
    <t>4∼6</t>
  </si>
  <si>
    <t>27호선</t>
  </si>
  <si>
    <t>1호선</t>
  </si>
  <si>
    <t xml:space="preserve">23호선 </t>
  </si>
  <si>
    <t>29호선</t>
  </si>
  <si>
    <t>2호선</t>
  </si>
  <si>
    <t>5호선</t>
  </si>
  <si>
    <t>00.05.31</t>
  </si>
  <si>
    <t>00.05.22</t>
  </si>
  <si>
    <t>14호선</t>
  </si>
  <si>
    <t>20호선</t>
  </si>
  <si>
    <t>28호선</t>
  </si>
  <si>
    <t>05.10.31</t>
  </si>
  <si>
    <t>05.11.09</t>
  </si>
  <si>
    <t>05.12.12</t>
  </si>
  <si>
    <t>34호선</t>
  </si>
  <si>
    <t>07.01.11</t>
  </si>
  <si>
    <t>07.02.27</t>
  </si>
  <si>
    <t>32호선</t>
  </si>
  <si>
    <t>09.04.17</t>
  </si>
  <si>
    <t>09.09.17</t>
  </si>
  <si>
    <t>아산 둔포 봉재-평택 팽성 노양</t>
  </si>
  <si>
    <t>10.04.05</t>
  </si>
  <si>
    <t>10.04.26</t>
  </si>
  <si>
    <t>10.04.02</t>
  </si>
  <si>
    <t>58호선</t>
  </si>
  <si>
    <t>12.04.04</t>
  </si>
  <si>
    <t>올림픽대로</t>
  </si>
  <si>
    <t>6∼8</t>
  </si>
  <si>
    <t>02.11.25</t>
  </si>
  <si>
    <t>강변북로</t>
  </si>
  <si>
    <t>4∼8</t>
  </si>
  <si>
    <t>86.09.15</t>
  </si>
  <si>
    <t>양재대로</t>
  </si>
  <si>
    <t>89.02.13</t>
  </si>
  <si>
    <t>서부간선도로</t>
  </si>
  <si>
    <t>동부간선도로</t>
  </si>
  <si>
    <t>97.05.26</t>
  </si>
  <si>
    <t>내부순환로</t>
  </si>
  <si>
    <t>북부간선도로</t>
  </si>
  <si>
    <t>언주로</t>
  </si>
  <si>
    <t>우면산로</t>
  </si>
  <si>
    <t>00.03.25</t>
  </si>
  <si>
    <t>07.03.21</t>
  </si>
  <si>
    <t>8부두사거리~감전IC</t>
  </si>
  <si>
    <t>광안대로</t>
  </si>
  <si>
    <t>8∼10</t>
  </si>
  <si>
    <t>관문대로</t>
  </si>
  <si>
    <t>장산로</t>
  </si>
  <si>
    <t>신천대로</t>
  </si>
  <si>
    <t>87.10.01</t>
  </si>
  <si>
    <t>93.11.26</t>
  </si>
  <si>
    <t>99.09.30</t>
  </si>
  <si>
    <t>대로1~19(범안로)</t>
  </si>
  <si>
    <t>02.12.20</t>
  </si>
  <si>
    <t>87.07.20</t>
  </si>
  <si>
    <t>무진로</t>
  </si>
  <si>
    <t>빛고을로</t>
  </si>
  <si>
    <t>09.12.09</t>
  </si>
  <si>
    <t>국지도69호선</t>
  </si>
  <si>
    <t>09.01.14</t>
  </si>
  <si>
    <t>국지도58호선</t>
  </si>
  <si>
    <t>97.07.15</t>
  </si>
  <si>
    <t>99.02.11</t>
  </si>
  <si>
    <t>지방도1020호선</t>
  </si>
  <si>
    <t>94.06.07</t>
  </si>
  <si>
    <t>09.10.09</t>
  </si>
  <si>
    <t>11.06.15</t>
  </si>
  <si>
    <t>지방도1030호선</t>
  </si>
  <si>
    <t>12.01.12</t>
  </si>
  <si>
    <t>13.08.01</t>
  </si>
  <si>
    <t>내곡분당로</t>
  </si>
  <si>
    <t>95.02.14</t>
  </si>
  <si>
    <t>수서분당로</t>
  </si>
  <si>
    <t>97.03.24</t>
  </si>
  <si>
    <t>14.02.20</t>
  </si>
  <si>
    <t>14.04.30</t>
  </si>
  <si>
    <t>14.10.30</t>
  </si>
  <si>
    <t>1,21호선</t>
  </si>
  <si>
    <t>28,35호선</t>
  </si>
  <si>
    <t>3,33호선</t>
  </si>
  <si>
    <t>15.02.16</t>
  </si>
  <si>
    <t>15.05.28</t>
  </si>
  <si>
    <t>남양주 수석동(고산로)~호평동(대로1-1호) ~매봉IC</t>
  </si>
  <si>
    <t>07.06.21</t>
  </si>
  <si>
    <t>10. 자동차 전용 도로 현황(고속국도제외)</t>
    <phoneticPr fontId="2" type="noConversion"/>
  </si>
  <si>
    <t xml:space="preserve">     ( 단위 : m )</t>
    <phoneticPr fontId="2" type="noConversion"/>
  </si>
  <si>
    <t>구분</t>
    <phoneticPr fontId="2" type="noConversion"/>
  </si>
  <si>
    <t>노선번호</t>
    <phoneticPr fontId="2" type="noConversion"/>
  </si>
  <si>
    <t>시점 및 종점</t>
    <phoneticPr fontId="2" type="noConversion"/>
  </si>
  <si>
    <t>연장</t>
    <phoneticPr fontId="2" type="noConversion"/>
  </si>
  <si>
    <t>차로수</t>
    <phoneticPr fontId="2" type="noConversion"/>
  </si>
  <si>
    <t>지정일자</t>
    <phoneticPr fontId="2" type="noConversion"/>
  </si>
  <si>
    <t>전체</t>
    <phoneticPr fontId="2" type="noConversion"/>
  </si>
  <si>
    <t>일반국도</t>
    <phoneticPr fontId="2" type="noConversion"/>
  </si>
  <si>
    <t>여주시 대신면 가산리~대신면 보통리</t>
  </si>
  <si>
    <t>여주시 대신면 왕대리~대신면 가산리</t>
  </si>
  <si>
    <t>여주시 교동~강천면 부평리</t>
  </si>
  <si>
    <t>화성시 봉담읍 왕림리~영통구 망포동</t>
  </si>
  <si>
    <t>09.10.13</t>
  </si>
  <si>
    <t>77호선</t>
  </si>
  <si>
    <t>10.03.26</t>
  </si>
  <si>
    <t>16.10.27</t>
  </si>
  <si>
    <t>06.08.17</t>
  </si>
  <si>
    <t>12.1.25</t>
  </si>
  <si>
    <t>01.11.19</t>
  </si>
  <si>
    <t>01.04.10</t>
  </si>
  <si>
    <t>02.08.03</t>
  </si>
  <si>
    <t>02.01.07</t>
  </si>
  <si>
    <t>99.12.28</t>
  </si>
  <si>
    <t>11.05.12</t>
  </si>
  <si>
    <t>07.08.14</t>
  </si>
  <si>
    <t>13호선</t>
  </si>
  <si>
    <t>17호선</t>
  </si>
  <si>
    <t>11.09.27</t>
  </si>
  <si>
    <t>12.02.02</t>
  </si>
  <si>
    <t>33호선</t>
  </si>
  <si>
    <t>16.08.09</t>
  </si>
  <si>
    <t>00.02.24.</t>
  </si>
  <si>
    <t>12.02.27.</t>
  </si>
  <si>
    <t>11.09.27.</t>
  </si>
  <si>
    <t>08.02.19.</t>
  </si>
  <si>
    <t>08.06.19.</t>
  </si>
  <si>
    <t>11.06.10.</t>
  </si>
  <si>
    <t>2, 25호선</t>
  </si>
  <si>
    <t>창원시 성산구 양곡동(양곡IC) ~ 창원시 성산구 완암동(완암IC)</t>
  </si>
  <si>
    <t>13.10.07.</t>
  </si>
  <si>
    <t>진전진북경계 ~ 창원시 마산합포구 지동면 인곡리(신대방삼거리)</t>
  </si>
  <si>
    <t>10.05.31.</t>
  </si>
  <si>
    <t>04.05.  .</t>
  </si>
  <si>
    <t>26호선</t>
  </si>
  <si>
    <t>06.08.22.</t>
  </si>
  <si>
    <t>2,3호선</t>
  </si>
  <si>
    <t>09.03.05</t>
  </si>
  <si>
    <t>특별ㆍ광역시도</t>
    <phoneticPr fontId="2" type="noConversion"/>
  </si>
  <si>
    <t>국회대로</t>
  </si>
  <si>
    <t>강남구 수서동 (수서IC)-서초구 양재동(양재IC)</t>
  </si>
  <si>
    <t>강남구 개포동(포이동)-서초구 내곡동(성남시계)</t>
  </si>
  <si>
    <t>강남순환로</t>
  </si>
  <si>
    <t>6~8</t>
  </si>
  <si>
    <t>16.06.23</t>
  </si>
  <si>
    <t>광2-5호</t>
  </si>
  <si>
    <t>인천 서구 경서동 ~ 부평구 청천동 57-26</t>
  </si>
  <si>
    <t>광3-33호</t>
  </si>
  <si>
    <t>인천 연수JCT ~ 시흥시계</t>
  </si>
  <si>
    <t>05.0.4.04</t>
  </si>
  <si>
    <t>광3-15호</t>
  </si>
  <si>
    <t>인천 남동구 서창동 ~ 부천시계</t>
  </si>
  <si>
    <t>대로3-118</t>
  </si>
  <si>
    <t>광로 2-13</t>
  </si>
  <si>
    <t>00.11.30</t>
  </si>
  <si>
    <t>5∼6</t>
  </si>
  <si>
    <t>02.05.23</t>
  </si>
  <si>
    <t>13.05.20</t>
  </si>
  <si>
    <t>신천대로(좌안)</t>
  </si>
  <si>
    <t>대2-25</t>
  </si>
  <si>
    <t>15.12.17</t>
  </si>
  <si>
    <t>09.06.01.</t>
  </si>
  <si>
    <t>대로1류11호선:문흥JCT~두암IC (제2순환도로)</t>
  </si>
  <si>
    <t>대로1류11호선:두암IC~효덕IC(제2순환도로)</t>
  </si>
  <si>
    <t>대로1류27호선:효덕IC~서창IC(제2순환도로)</t>
  </si>
  <si>
    <t>광주 서구 마륵동 서창IC~광산구 산월JCT  (호남고속도로 접속부)</t>
  </si>
  <si>
    <t>내부순환도로</t>
  </si>
  <si>
    <t>남해고속도로종점 ∼ 만덕대로 접속부</t>
  </si>
  <si>
    <t>98.05.08</t>
  </si>
  <si>
    <t>부산 강서구 봉림동 통전교차로 ∼부산시계(식만동)</t>
  </si>
  <si>
    <t>09.2.25</t>
  </si>
  <si>
    <t>4∼5</t>
  </si>
  <si>
    <t>10.05.12</t>
  </si>
  <si>
    <t>지방도</t>
    <phoneticPr fontId="2" type="noConversion"/>
  </si>
  <si>
    <t>소  계 (12개소)</t>
    <phoneticPr fontId="2" type="noConversion"/>
  </si>
  <si>
    <t>98.09.09</t>
  </si>
  <si>
    <t>15.09.24</t>
  </si>
  <si>
    <t>시도</t>
    <phoneticPr fontId="2" type="noConversion"/>
  </si>
  <si>
    <t>성남시 수정구 상적동~분당구 백현동</t>
  </si>
  <si>
    <t>성남시 수정구 복정동~분당구 수내동</t>
  </si>
  <si>
    <t>시도112호선</t>
  </si>
  <si>
    <t>시도79호선</t>
  </si>
  <si>
    <t>고양시 덕양구 강매동(북로IC)~덕양구 행신동(행신지하차도)</t>
  </si>
  <si>
    <t>09.01.23</t>
  </si>
  <si>
    <t>지방도 309호선</t>
  </si>
  <si>
    <t>의왕시 왕곡동(의왕나들목)~과천시 문원동(상아벌지하차도)</t>
  </si>
  <si>
    <t>화성군 봉담면 수영리(봉담나들목)~의왕시 왕곡동(의왕나들목)</t>
  </si>
  <si>
    <t>지방도 330호선</t>
  </si>
  <si>
    <t>인천 남동 고잔(고잔영업소)~경기 시흥 논곡동(목감교차로)</t>
  </si>
  <si>
    <t>지방도 357호선</t>
  </si>
  <si>
    <t>고양시 일산서구 법곳동 법곳IC~덕양구 현천동 현천IC(14.7km)</t>
  </si>
  <si>
    <t>과천시 막계동 5호광장(막계동995-3)~서울시계(주암동359-4)</t>
  </si>
  <si>
    <t>거제 연초 송정~거제 장목 유호</t>
  </si>
  <si>
    <t>김해시 불암동~김해시 대동면 초정리</t>
  </si>
  <si>
    <t>창원시 불모산동~김해군 대청동</t>
  </si>
  <si>
    <t>창원시 성산구 천선동(성주사교차로)~김해시 대청동(상점교차로)</t>
  </si>
  <si>
    <t>광주 남구 송촌동(남평군 시계)~광산구 오산동(장성군 시계)</t>
  </si>
  <si>
    <t>서변대교및접속도로</t>
  </si>
  <si>
    <t>광진구 광장동(광장동시계)~마포구 상암동 가양대교(난지도시계)</t>
  </si>
  <si>
    <t>강남구 압구정동(한남대교 남단)~서초구 양재동(양재IC)</t>
  </si>
  <si>
    <t>영등포구 양평동(목동교)~양천구 신월동(신월IC)</t>
  </si>
  <si>
    <t>마포구 망원동(성산대교 북단) ~ 성동구 성수동(동부간선도로 접속부)</t>
  </si>
  <si>
    <t>노원구 상계동(동1로 접속부)~송파구 장지동(성남시계)</t>
  </si>
  <si>
    <t>성북구 월곡동(월곡동IC)~중랑구 신내동(구리시계)</t>
  </si>
  <si>
    <t>강동구 강일동(하일동시계)-강서구 개화동(행주대교 남단)</t>
  </si>
  <si>
    <t>서초구 우면동(우면동시계)-서초구 우면동(선암IC)</t>
  </si>
  <si>
    <t>광명시 소하동 673(소하 JCT)-과천시 주암동 88-2(우면산 고가교램프)</t>
  </si>
  <si>
    <t>04.08.07</t>
  </si>
  <si>
    <t>대전 대덕구 와동(와동육교)~대덕구 문평동(문평대교)</t>
  </si>
  <si>
    <t>15.12.22</t>
  </si>
  <si>
    <t>천변도시고속도로</t>
  </si>
  <si>
    <t>대전 대덕구 읍내동(원촌육교)~대덕구 와동(와동IC)</t>
  </si>
  <si>
    <t>91.07.13</t>
  </si>
  <si>
    <t>대구시 남구 봉덕동(상동교)~대구시 서구 상리동(서대구IC)</t>
  </si>
  <si>
    <t>대구시 북구 침산동(신천대로)~대구시 북구 서변동(고촌교)</t>
  </si>
  <si>
    <t>대구시 서구 상리동(서대구IC)~대구시 달서구 용산동(성서IC)</t>
  </si>
  <si>
    <t>대구시 달성군 가창면 용계리(혜성빌라)~대구시 남구 봉덕동(두산1교)</t>
  </si>
  <si>
    <t>울산 울주군 청량면 덕하리(청량IC3교)~남구 성암동(황성삼거리)</t>
  </si>
  <si>
    <t>울산시 북구 염포동(아산로 성내고가교)~동구 일산동(염포산영업소)</t>
  </si>
  <si>
    <t>동구 범일동(해양항만청 인근)~삼락IC</t>
  </si>
  <si>
    <t>올림픽교차로~좌동지하차도</t>
  </si>
  <si>
    <t>49호광장~센텀시티요금소</t>
  </si>
  <si>
    <t>부산, 경남경계 공유수면 ∼ 부산 강서구 천성동257-2</t>
  </si>
  <si>
    <t>부산 강서 명지동 75호광장~부산 사하 신평동 66호광장</t>
  </si>
  <si>
    <t>경기도 용인시 기흥구 영덕동~용인시 처인구 남동</t>
  </si>
  <si>
    <t>성남시 중원구 여수동~이천시 부발읍 응암리</t>
  </si>
  <si>
    <t>의정부시 장암동~양주시 봉양동</t>
  </si>
  <si>
    <t>양주시 봉양동~연천군 청산면 초성리</t>
  </si>
  <si>
    <t>남양주시 진건~남양주시 호평</t>
  </si>
  <si>
    <t>남양주시 진건읍 진관리~진건읍 사능리</t>
  </si>
  <si>
    <t>남양주시 호평동~남양주시 화도읍 금남리</t>
  </si>
  <si>
    <t>파주시 탄현면 법흥리~파주시 문산읍 마정리</t>
  </si>
  <si>
    <t>양주시 장흥면 일영리~양주시 장흥면 울대리</t>
  </si>
  <si>
    <t>삼척시 근덕면 매원리~삼척시 오분동</t>
  </si>
  <si>
    <t>03.02.08</t>
  </si>
  <si>
    <t>삼척시 원덕읍 월천리~삼척시 근덕면 궁촌리</t>
  </si>
  <si>
    <t>동해시 이로동~동해시 쇄운동</t>
  </si>
  <si>
    <t xml:space="preserve">영월군 서면 쌍용리~영월군 영월읍 덕포리 </t>
  </si>
  <si>
    <t>영월군 영월읍 덕포리~정선군 신동읍 예미리</t>
  </si>
  <si>
    <t>춘천시 신북읍 천전리(신북교)~신북읍 유포리(무지교)</t>
  </si>
  <si>
    <t>06.02.21</t>
  </si>
  <si>
    <t>5,46,56호선</t>
  </si>
  <si>
    <t>춘천시 동면 만천리~춘천시 신북읍 천진리</t>
  </si>
  <si>
    <t>원주시 흥업면 매지리(매지교차로)~원주시 구래면 운남리(귀래육교)</t>
  </si>
  <si>
    <t>원주시 흥업면 사제리(광터교차로)~원주시 판부면 서곡리</t>
  </si>
  <si>
    <t>원주시 관설동~원주시 봉산동</t>
  </si>
  <si>
    <t>5,42호선</t>
  </si>
  <si>
    <t>원주시 봉산동~원주시 소초면 장양리</t>
  </si>
  <si>
    <t>여주시 강천면 부평리~원주시 문막읍 건등리</t>
  </si>
  <si>
    <t>17,25호선</t>
  </si>
  <si>
    <t>청주시 수의동(휴암교차로)~상당구 오동동</t>
  </si>
  <si>
    <t>아산시 음봉면 송촌리~둔포면 봉재리</t>
  </si>
  <si>
    <t>서산시 성연면 일람리~서산시 음암면 부장리</t>
  </si>
  <si>
    <t xml:space="preserve">17,25호선 </t>
  </si>
  <si>
    <t>청주시 상당구 남일면 효촌리~청주시 흥덕구 휴암동</t>
  </si>
  <si>
    <t>충주시 용두동(용두교차로)-충주시 금가면 사암리(사암교차로)</t>
  </si>
  <si>
    <t>충주시 풍동(능곡교)-용두동(용두교차로)</t>
  </si>
  <si>
    <t>제천시 신동(신동교차로)-강제동(고명교차로)</t>
  </si>
  <si>
    <t>제천시 강제동(고명교차로) - 송학면 무도리(동막교차로)</t>
  </si>
  <si>
    <t>청주시 상당구 오동동~청원구 내수읍 구성리</t>
  </si>
  <si>
    <t>청주시 상당구 율량동~청원구 북이면 옥수리</t>
  </si>
  <si>
    <t>아산시 신창면 읍내리(읍내교차로)~아산시 남동(남동교차로)</t>
  </si>
  <si>
    <t>45호선</t>
  </si>
  <si>
    <t>아산시 신동(남동지하차도)~탕정면 용두리(용두1교)</t>
  </si>
  <si>
    <t>06.05.17</t>
  </si>
  <si>
    <t>아산시 소정면 운당리~아산시 배방면 갈매리(시계)</t>
  </si>
  <si>
    <t>03.07.31</t>
  </si>
  <si>
    <t>아산시 배방면 갈매리~음봉면 송촌리</t>
  </si>
  <si>
    <t>05.12.19</t>
  </si>
  <si>
    <t>보령시 남포면 옥동리(남포교차로)~보령시 주교면 관창리(관창교차로)</t>
  </si>
  <si>
    <t>김천시 어모면 남산리(남산교차로)~상주시 청리면 원장리(양촌교차로)</t>
  </si>
  <si>
    <t>김천시 어모면 옥률리(어모교차로)~김천시 양천동(양천교차로)</t>
  </si>
  <si>
    <t>김천시 구성면 상원리(구성교)~김천면 구성면 하강리(하강2교)</t>
  </si>
  <si>
    <t>영주시 가흥동(가흥삼거리)~영주시 상망동</t>
  </si>
  <si>
    <t>경남 창원시 진해구 소사동~경남 김해시 삼계동</t>
  </si>
  <si>
    <t>경북 경주시 광명동~경북 경주시 외동읍 구어리</t>
  </si>
  <si>
    <t>구미시 거의동~구미시 고아읍 송림리</t>
  </si>
  <si>
    <t>영주시 문정동~예천군 감천면 포리</t>
  </si>
  <si>
    <t>경북 영주시 문정동~영주시 가홍동(가흥삼거리)</t>
  </si>
  <si>
    <t>경북 영주시 문수면 적동리(적서교차로)~영주시 문정동</t>
  </si>
  <si>
    <t>영주시 가흥동(가흥교차로)~안정면 신전리</t>
  </si>
  <si>
    <t>안동시 풍산읍 막곡리(교리교차로)~남선면 이천리(이천교차로)</t>
  </si>
  <si>
    <t>김해시 한림면 퇴래리(소업삼거리)~강서구 식만동(식만분기점)</t>
  </si>
  <si>
    <t>밀양시 산내면 남명리(얼음골교차로)~밀양시 산내면 삼양리(구연교)</t>
  </si>
  <si>
    <t>밀양시 산내면 삼양리(구연교)~울산시 울주군 상북면 궁근정리(장성교)</t>
  </si>
  <si>
    <t>창원시 마산합포구 현동(현동교차로)~창원시 성산구 양곡동(양곡IC)</t>
  </si>
  <si>
    <t>거제시 아주동(아주터널)~거제시 장평동(장평교차로)</t>
  </si>
  <si>
    <t>진주시 집현면 지내리(집현교차로)~진주시 평거동(10호광장)</t>
  </si>
  <si>
    <t>진주시 내동면 독산리(내동교차로)~진주시 가좌동(옥산교차로)</t>
  </si>
  <si>
    <t>11.06.02</t>
  </si>
  <si>
    <t>경주시 건천읍 천포리~포항시 남구 장흥동</t>
  </si>
  <si>
    <t>4,5</t>
  </si>
  <si>
    <t xml:space="preserve">포항시 남구 동해면 석리~포항시 남구 연일읍 유강리 </t>
  </si>
  <si>
    <t>포항시 남구 연일읍 유강리~포항시 북구 흥해읍 성곡리</t>
  </si>
  <si>
    <t>울진군 북면 고목리~삼척시 원덕읍 월천리</t>
  </si>
  <si>
    <t>영천시 금호읍 교대리~영천시 고경면 상덕리</t>
  </si>
  <si>
    <t>울산 북구 연암동~울산 북구 신명동</t>
  </si>
  <si>
    <t>서울청</t>
    <phoneticPr fontId="1" type="noConversion"/>
  </si>
  <si>
    <t>원주청</t>
    <phoneticPr fontId="1" type="noConversion"/>
  </si>
  <si>
    <t>대전청</t>
    <phoneticPr fontId="1" type="noConversion"/>
  </si>
  <si>
    <t>익산청</t>
    <phoneticPr fontId="1" type="noConversion"/>
  </si>
  <si>
    <t>부산청</t>
    <phoneticPr fontId="1" type="noConversion"/>
  </si>
  <si>
    <t>울산시</t>
    <phoneticPr fontId="1" type="noConversion"/>
  </si>
  <si>
    <t>서울시</t>
    <phoneticPr fontId="1" type="noConversion"/>
  </si>
  <si>
    <t>인천시</t>
    <phoneticPr fontId="1" type="noConversion"/>
  </si>
  <si>
    <t>대전시</t>
    <phoneticPr fontId="1" type="noConversion"/>
  </si>
  <si>
    <t>대구시</t>
    <phoneticPr fontId="1" type="noConversion"/>
  </si>
  <si>
    <t>광주시</t>
    <phoneticPr fontId="1" type="noConversion"/>
  </si>
  <si>
    <t>부산시</t>
    <phoneticPr fontId="1" type="noConversion"/>
  </si>
  <si>
    <t>경기도</t>
    <phoneticPr fontId="1" type="noConversion"/>
  </si>
  <si>
    <t>고양시</t>
    <phoneticPr fontId="1" type="noConversion"/>
  </si>
  <si>
    <t>과천시</t>
    <phoneticPr fontId="1" type="noConversion"/>
  </si>
  <si>
    <t>경남, 김해시</t>
    <phoneticPr fontId="1" type="noConversion"/>
  </si>
  <si>
    <t>경남</t>
    <phoneticPr fontId="1" type="noConversion"/>
  </si>
  <si>
    <t>경남, 부산시</t>
    <phoneticPr fontId="1" type="noConversion"/>
  </si>
  <si>
    <t>성남시</t>
    <phoneticPr fontId="1" type="noConversion"/>
  </si>
  <si>
    <t>남양주시</t>
    <phoneticPr fontId="1" type="noConversion"/>
  </si>
  <si>
    <t>화성시</t>
    <phoneticPr fontId="1" type="noConversion"/>
  </si>
  <si>
    <t>도로관리청</t>
    <phoneticPr fontId="1" type="noConversion"/>
  </si>
  <si>
    <t>서울청</t>
    <phoneticPr fontId="1" type="noConversion"/>
  </si>
  <si>
    <t>울산시</t>
    <phoneticPr fontId="1" type="noConversion"/>
  </si>
  <si>
    <t>고양시</t>
    <phoneticPr fontId="1" type="noConversion"/>
  </si>
  <si>
    <t>서울제물포터널</t>
  </si>
  <si>
    <t>영등포구 여의도동 2-11~신월IC</t>
  </si>
  <si>
    <t>17.4.13</t>
  </si>
  <si>
    <t>서부간선지하도로</t>
  </si>
  <si>
    <t>영등포구 양화동 10-2~금천IC</t>
  </si>
  <si>
    <t>서울시</t>
    <phoneticPr fontId="1" type="noConversion"/>
  </si>
  <si>
    <t>소  계 (50개소)</t>
    <phoneticPr fontId="2" type="noConversion"/>
  </si>
  <si>
    <t>부산청</t>
    <phoneticPr fontId="1" type="noConversion"/>
  </si>
  <si>
    <t>경남, 창원시</t>
    <phoneticPr fontId="1" type="noConversion"/>
  </si>
  <si>
    <t>소  계 (128개소)</t>
    <phoneticPr fontId="2" type="noConversion"/>
  </si>
  <si>
    <t>2024.12.31 기준</t>
    <phoneticPr fontId="1" type="noConversion"/>
  </si>
  <si>
    <t>경기도 평택시 팽성읍 노양리~오성면 양교리</t>
  </si>
  <si>
    <t>47호선</t>
  </si>
  <si>
    <t>남양주시 진접읍 내곡리~남양주시 진접읍 금곡리</t>
  </si>
  <si>
    <t>19.08.30</t>
  </si>
  <si>
    <t>아산시 염치읍 염성리-석정리</t>
  </si>
  <si>
    <t>17.01.26</t>
  </si>
  <si>
    <t>24.01.02</t>
  </si>
  <si>
    <t>충청북도 증평군 도안면 화성리 54-11 ~ 음성군 원남면 하당리 280-3</t>
  </si>
  <si>
    <t>24.01.02.</t>
  </si>
  <si>
    <t>충청북도 음성군 원남면 하당리 280-3 ~ 충주시 주덕읍 신양리 100-5</t>
  </si>
  <si>
    <t>충청북도 충주시 주덕읍 신양리 100-5 ~ 충주시 중앙탑면 창동리 산13-6</t>
  </si>
  <si>
    <t>전북 김제시 명덕동 348-3 - 김제시 흥사동 458-16</t>
  </si>
  <si>
    <t>21.12.22</t>
  </si>
  <si>
    <t>광양시 광양읍 세풍리-광양시-성황동</t>
  </si>
  <si>
    <t xml:space="preserve"> 06.12.27 </t>
  </si>
  <si>
    <t>광양시 성황동-광양시 진월면 마룡리</t>
  </si>
  <si>
    <t xml:space="preserve"> 18.12.13 </t>
  </si>
  <si>
    <t>나주시 다시면 월태리-나주시 금천면 석전리</t>
  </si>
  <si>
    <t>목포시 죽교동-목포시 달동</t>
  </si>
  <si>
    <t xml:space="preserve"> 12.06.21 </t>
  </si>
  <si>
    <t>목포시 삼향면 유교리-목표시 연산동</t>
  </si>
  <si>
    <t xml:space="preserve"> 98.09.19 </t>
  </si>
  <si>
    <t>무안군 삼향읍 맥포리-무안군 일로읍 청호리</t>
  </si>
  <si>
    <t xml:space="preserve"> 04.09.13 </t>
  </si>
  <si>
    <t>무안군 일로읍 청호리-영암군 삼호읍 서호리</t>
  </si>
  <si>
    <t>목포시 대양동-무안군 삼향면 맥포리</t>
  </si>
  <si>
    <t xml:space="preserve"> 12.10.23 </t>
  </si>
  <si>
    <t>완도군 완도읍 죽청리-완도군 군위면 영풍리</t>
  </si>
  <si>
    <t xml:space="preserve"> 09.01.12 </t>
  </si>
  <si>
    <t>완도군 군위면 영풍리-완도군 군위면 원동리</t>
  </si>
  <si>
    <t>남원시 주생면 상동리-남원시 광치동</t>
  </si>
  <si>
    <t xml:space="preserve"> 05.11.21 </t>
  </si>
  <si>
    <t>남원시 주생면 중동리-남원시 금지면 귀석리</t>
  </si>
  <si>
    <t>순창군 인계면 도룡리-완주군 구이면 백여리</t>
  </si>
  <si>
    <t>여수시 소라면 덕양리-여수시 율촌면 취적리</t>
  </si>
  <si>
    <t xml:space="preserve"> 06.06.20 </t>
  </si>
  <si>
    <t>여수시 율촌면 취적리-순천시 해룡면 호두리</t>
  </si>
  <si>
    <t>여수시 덕충동 덕충IC-여수시 주삼동 주삼IC</t>
  </si>
  <si>
    <t xml:space="preserve"> 02.02.15 </t>
  </si>
  <si>
    <t>순천시 해룡면 선월리-순천시 서면 압곡리</t>
  </si>
  <si>
    <t xml:space="preserve"> 4∼6 </t>
  </si>
  <si>
    <t>순천시 해룡면 원전리-광양시 광양읍 세풍리</t>
  </si>
  <si>
    <t>15, 27호선</t>
  </si>
  <si>
    <t>보성군 벌교읍 고읍리-순천시 송광면 이읍리</t>
  </si>
  <si>
    <t>전주시 덕진구 용정동-군산시 내초동</t>
  </si>
  <si>
    <t xml:space="preserve"> 4~6 </t>
  </si>
  <si>
    <t xml:space="preserve"> 97.12.20 </t>
  </si>
  <si>
    <t>완주군 구이면 백여리-완주군 구이면 항가리</t>
  </si>
  <si>
    <t xml:space="preserve"> 05.06.03 </t>
  </si>
  <si>
    <t>완주군 상관면 신리-전주시 완산구 원당동</t>
  </si>
  <si>
    <t xml:space="preserve"> 04.07.05 </t>
  </si>
  <si>
    <t>전주시 완산구 원당동-전주시 덕진구 원동</t>
  </si>
  <si>
    <t>전주시 덕진구 원동-익산시 왕궁면 온수리</t>
  </si>
  <si>
    <t>전주시 덕진구 도덕동-전주시 덕진구 용정동</t>
  </si>
  <si>
    <t>김제시 서암동-군산시 대야면 복교리</t>
  </si>
  <si>
    <t xml:space="preserve"> 05.11.14 </t>
  </si>
  <si>
    <t>완주군 구이면 백여리-완주군 구이면 백여리</t>
  </si>
  <si>
    <t xml:space="preserve"> 09.01.12. </t>
  </si>
  <si>
    <t>익산시 오산면 영만리-익산시 함열읍 다송리</t>
  </si>
  <si>
    <t xml:space="preserve"> 05.07.08. </t>
  </si>
  <si>
    <t>전주시 덕진구 용정동-완주군 용진읍 용흥리</t>
  </si>
  <si>
    <t xml:space="preserve"> 11.03.28. </t>
  </si>
  <si>
    <t>군산시 개정면 운회리-군산시 개정면 옥석리</t>
  </si>
  <si>
    <t xml:space="preserve"> 05.11.14. </t>
  </si>
  <si>
    <t>구미시 구평동~구미시 구포동</t>
  </si>
  <si>
    <t>경북 칠곡군 북삼읍 오평리~구미시 구평동</t>
  </si>
  <si>
    <t>구미시 고아읍 송림리~구미시 선산읍 동부리</t>
  </si>
  <si>
    <t>김해시 진영읍 진영리-김해시 한림면 퇘래리</t>
  </si>
  <si>
    <t>양산시 용당동-울산시 울주군 웅촌면 대복리</t>
  </si>
  <si>
    <t>울산시 울주군 웅촌면 대복리-울주군 청량면 문죽리</t>
  </si>
  <si>
    <t>김천시 어모면 옥률리</t>
  </si>
  <si>
    <t>18.04.23</t>
  </si>
  <si>
    <t>상주시 함창읍 오동리(오동교차로)~문경시 불정동(34호선과 3호선경계)</t>
  </si>
  <si>
    <t>예천 감천 포리산(포리교차로)~예천 예천읍 청복리(동예천교차로)</t>
  </si>
  <si>
    <t>05.10.31.</t>
  </si>
  <si>
    <t>기장군 일광면 문동리(문중교차로)~울주군 서생면 위양리(서생교차로)</t>
  </si>
  <si>
    <t>고양시 덕양구 덕은동(갸양대교 북단)~고양시 일산서구 구산동(고양시계)</t>
  </si>
  <si>
    <t>8~10</t>
  </si>
  <si>
    <t>08.11.17</t>
  </si>
  <si>
    <t>경주시 현곡면 상구리~경주시 효현동</t>
  </si>
  <si>
    <t>24.12.31</t>
  </si>
  <si>
    <t>총  계 (199개소)</t>
    <phoneticPr fontId="2" type="noConversion"/>
  </si>
  <si>
    <t>4~8</t>
  </si>
  <si>
    <t>금천구 가산동 637~금천구 독산동(안양천교)</t>
  </si>
  <si>
    <t>대구시 달서구 상인동(상인고가교 시점)~대구시 수성구 범물동(범안로)</t>
  </si>
  <si>
    <t>울산시 울주군 청량읍 문죽리 산47-6번지~북구 중산동 1061</t>
  </si>
  <si>
    <t>18.05.01</t>
  </si>
  <si>
    <t>광주제2순환도로</t>
  </si>
  <si>
    <t>91.10.29</t>
  </si>
  <si>
    <t>96.01.09</t>
  </si>
  <si>
    <t>92.08.06</t>
  </si>
  <si>
    <t>하남산단외곽도로</t>
  </si>
  <si>
    <t>15.05.15</t>
  </si>
  <si>
    <t>부산시 동구 범일동~구서IC</t>
  </si>
  <si>
    <t>19.06.20
21.09.09
22.9.29</t>
    <phoneticPr fontId="1" type="noConversion"/>
  </si>
  <si>
    <t>6-8</t>
    <phoneticPr fontId="1" type="noConversion"/>
  </si>
  <si>
    <t>옥동~농소
(대로 2-18)</t>
    <phoneticPr fontId="1" type="noConversion"/>
  </si>
  <si>
    <t>울산대교 및
접속도로</t>
    <phoneticPr fontId="1" type="noConversion"/>
  </si>
  <si>
    <t>진곡산단
진입도로</t>
    <phoneticPr fontId="1" type="noConversion"/>
  </si>
  <si>
    <t>번영로, 
충장고가로</t>
    <phoneticPr fontId="1" type="noConversion"/>
  </si>
  <si>
    <t>동서고가로, 
우암고가로</t>
    <phoneticPr fontId="1" type="noConversion"/>
  </si>
  <si>
    <t>82.2.11
07.03.21</t>
    <phoneticPr fontId="1" type="noConversion"/>
  </si>
  <si>
    <t>93.2.22
07.03.21</t>
    <phoneticPr fontId="1" type="noConversion"/>
  </si>
  <si>
    <t>10.07.15</t>
  </si>
  <si>
    <t>국지도49호선</t>
  </si>
  <si>
    <t>소  계 (9개소)</t>
    <phoneticPr fontId="2" type="noConversion"/>
  </si>
  <si>
    <t>시도18호선</t>
  </si>
  <si>
    <t>남양주시 별내동-진전읍 내곡리</t>
  </si>
  <si>
    <t>17.04.06</t>
  </si>
  <si>
    <t>화성시 배봉면 양노리~매송면 천천리</t>
  </si>
  <si>
    <t>17.06.27</t>
  </si>
  <si>
    <t>시도1호선</t>
  </si>
  <si>
    <t>창원시 마산회원구 양덕교차로~의창구 팔룡동 팔룡요금소</t>
  </si>
  <si>
    <t>18. 11. 5.</t>
  </si>
  <si>
    <t>동부간선로</t>
  </si>
  <si>
    <t>의정부시 장암동 서울시계~의정부시 장암동 동일로</t>
  </si>
  <si>
    <t>23.02.22</t>
  </si>
  <si>
    <t>시도 4호선</t>
  </si>
  <si>
    <t>창원시 진해구 자은동~진해구 소사동~진해구 두동~ 부산시 강서구 송정동</t>
  </si>
  <si>
    <t>25.03.13.</t>
  </si>
  <si>
    <t>고양 덕양 토당동 삼성당고가~
고양 덕양 관산동 통일로 두포동삼거리</t>
    <phoneticPr fontId="1" type="noConversion"/>
  </si>
  <si>
    <t>07.08.16
08.07.18</t>
    <phoneticPr fontId="1" type="noConversion"/>
  </si>
  <si>
    <t>06.11.02
10.11.26</t>
    <phoneticPr fontId="1" type="noConversion"/>
  </si>
  <si>
    <t>충청북도 청주시 청원구 북이면 금암리 420-2 ~ 증평군 도안면 화성리 54-11</t>
    <phoneticPr fontId="1" type="noConversion"/>
  </si>
  <si>
    <t>04.09.13
07.08.06</t>
    <phoneticPr fontId="1" type="noConversion"/>
  </si>
  <si>
    <t>04.09.13
19.02.18</t>
    <phoneticPr fontId="1" type="noConversion"/>
  </si>
  <si>
    <t>09.01.12
14.04.30</t>
    <phoneticPr fontId="1" type="noConversion"/>
  </si>
  <si>
    <t>04.09.13
05.04.04
18.09.10</t>
    <phoneticPr fontId="1" type="noConversion"/>
  </si>
  <si>
    <t>10.08.25
15.04.29</t>
    <phoneticPr fontId="1" type="noConversion"/>
  </si>
  <si>
    <t>울산시 남구 두왕동(신두왕사거리)~
울주군 청량면 율리(율리공영차고지)</t>
    <phoneticPr fontId="1" type="noConversion"/>
  </si>
  <si>
    <t>창원시 의창구 동읍 덕산리(남산사거리)~
김해시 진영읍 진영리(진영교차로)</t>
    <phoneticPr fontId="1" type="noConversion"/>
  </si>
  <si>
    <t>울산시 울주군 온산읍 처용리(온산교차로) ~
울산시 남구 두왕동(신두왕사거리)</t>
    <phoneticPr fontId="1" type="noConversion"/>
  </si>
  <si>
    <t>울산시 울주군 상북면 궁근정리(양등교차로) ~
울산시 범서읍 반천리(천소교차로)</t>
    <phoneticPr fontId="1" type="noConversion"/>
  </si>
  <si>
    <t>창원시 성산구 성주동(삼정자교차로) ~
창원시 성산구 토월동(토월교차로)</t>
    <phoneticPr fontId="1" type="noConversion"/>
  </si>
  <si>
    <t>창원시 성산구 토월동(토월교차로) ~ 
창원시 의창구 동읍 덕산리(남산IC)</t>
    <phoneticPr fontId="1" type="noConversion"/>
  </si>
  <si>
    <t>97.05.10
04.02.20</t>
    <phoneticPr fontId="1" type="noConversion"/>
  </si>
  <si>
    <t>95.10.31
98.12.15</t>
    <phoneticPr fontId="1" type="noConversion"/>
  </si>
  <si>
    <t>94.04.30
00.6.30</t>
    <phoneticPr fontId="1" type="noConversion"/>
  </si>
  <si>
    <t>94.04.30
02.03.11</t>
    <phoneticPr fontId="1" type="noConversion"/>
  </si>
  <si>
    <t>89.02.13
21.08.26</t>
    <phoneticPr fontId="1" type="noConversion"/>
  </si>
  <si>
    <t>86.07.12
20.10.15</t>
    <phoneticPr fontId="1" type="noConversion"/>
  </si>
  <si>
    <t>대전 대덕구 읍내동(원촌육교)~
서구 만년동(문예지하차도), 대덕구 대화동(대화육교)</t>
    <phoneticPr fontId="1" type="noConversion"/>
  </si>
  <si>
    <t>교통광장 56호,
광로3-14호, 
대로2-20호</t>
    <phoneticPr fontId="1" type="noConversion"/>
  </si>
  <si>
    <t>대구시 북구 서변동(동서변 택지지구 고촌지하차도)~
대구시 북구 서변동(고촌교)</t>
    <phoneticPr fontId="1" type="noConversion"/>
  </si>
  <si>
    <t>서대구-
성서도시고속도로</t>
    <phoneticPr fontId="1" type="noConversion"/>
  </si>
  <si>
    <t>대구시 수성구 범물동(범물지구, 관계삼거리)~
대구시 수성구 연호동(달구벌대로, 연호네거리)</t>
    <phoneticPr fontId="1" type="noConversion"/>
  </si>
  <si>
    <t>대구시 수성구 연호동(달구벌대로, 연호네거리)~
대구시 동구 율하동(안심, 율하역)</t>
    <phoneticPr fontId="1" type="noConversion"/>
  </si>
  <si>
    <t>대로1~19, 
광로2~12 (범안로)</t>
    <phoneticPr fontId="1" type="noConversion"/>
  </si>
  <si>
    <t>앞산터널로
(대로1-31)</t>
    <phoneticPr fontId="1" type="noConversion"/>
  </si>
  <si>
    <t>도시고속도로 
중로1-323 외 2</t>
    <phoneticPr fontId="1" type="noConversion"/>
  </si>
  <si>
    <t>대구시 달성군 유가면 쌍계리 (테크노폴리스 지하차도 입구)~
대구시 달서구 대곡동(광로3-12호선 지하차도 출구)</t>
    <phoneticPr fontId="1" type="noConversion"/>
  </si>
  <si>
    <t>울산시 남구 매암동(373-6) 울산대교 접속교량 시점~
동구 일산동(443) 일산천 지하차도</t>
    <phoneticPr fontId="1" type="noConversion"/>
  </si>
  <si>
    <t>울산대교 및 
접속도로</t>
    <phoneticPr fontId="1" type="noConversion"/>
  </si>
  <si>
    <t>광주 광산 우산동(한국무역협회 광주전남지회)
-광주 서구 유촌840-3(계수교차로 26호 교통광장)</t>
    <phoneticPr fontId="1" type="noConversion"/>
  </si>
  <si>
    <t>광주 서구 유촌동219(계수교차로 26호 교통광장)-
광주 북구 동림동 동림IC(계수교차로 26호 교통광장)</t>
    <phoneticPr fontId="1" type="noConversion"/>
  </si>
  <si>
    <t>광주시 광산구 오선동 산71-33(하남산단진입도로 경계)~
북구 오룡동 1111(광주과학기술원)</t>
    <phoneticPr fontId="1" type="noConversion"/>
  </si>
  <si>
    <t>광주시 광산구 운수동 233-13(무안-광주고속도로)
~광산구 오선동 산71-33(진곡산단진입도로 경계)</t>
    <phoneticPr fontId="1" type="noConversion"/>
  </si>
  <si>
    <t>02.12.30
07.03.21</t>
    <phoneticPr fontId="1" type="noConversion"/>
  </si>
  <si>
    <t>외부순환대로
(가락대교)</t>
    <phoneticPr fontId="1" type="noConversion"/>
  </si>
  <si>
    <t>시도17호선
(거가대로)</t>
    <phoneticPr fontId="1" type="noConversion"/>
  </si>
  <si>
    <t>외부순환도로
(을숙도대교)</t>
    <phoneticPr fontId="1" type="noConversion"/>
  </si>
  <si>
    <t>93.07.21
93.08.19</t>
    <phoneticPr fontId="1" type="noConversion"/>
  </si>
  <si>
    <t>창원시 성산구 완암동(완암교차로)~안민동(성주사교차로),(4.0km)
김해시 대청동(상점교차로)~율하동(율하교차로),(5.6km)</t>
    <phoneticPr fontId="1" type="noConversion"/>
  </si>
  <si>
    <t>김해시 율하동(율하교차로)~율하동(녹산터널), (0.7km)
부산 강서구 지사동(녹산터널)~강서구 미음동(미음교차로), (3.08km)</t>
    <phoneticPr fontId="1" type="noConversion"/>
  </si>
  <si>
    <t>비봉-매송간
도시고속도로</t>
    <phoneticPr fontId="1" type="noConversion"/>
  </si>
  <si>
    <t>경부고속도로
(구고속국도1호)</t>
    <phoneticPr fontId="1" type="noConversion"/>
  </si>
  <si>
    <t>강원특별자치도 춘천시 신북읍 발산리~신북읍 용산리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</si>
</sst>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1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scheme val="minor"/>
    </font>
    <font>
      <sz val="11"/>
      <name val="맑은 고딕"/>
      <family val="2"/>
      <scheme val="minor"/>
    </font>
    <font>
      <sz val="8"/>
      <name val="맑은 고딕"/>
      <family val="2"/>
      <scheme val="minor"/>
    </font>
    <font>
      <b/>
      <sz val="16"/>
      <name val="돋움"/>
      <family val="3"/>
      <charset val="129"/>
    </font>
    <font>
      <sz val="16"/>
      <name val="돋움"/>
      <family val="3"/>
      <charset val="129"/>
    </font>
    <font>
      <sz val="24"/>
      <name val="돋움"/>
      <family val="3"/>
      <charset val="129"/>
    </font>
    <font>
      <sz val="7.5"/>
      <name val="돋움"/>
      <family val="3"/>
      <charset val="129"/>
    </font>
    <font>
      <sz val="9"/>
      <name val="돋움"/>
      <family val="3"/>
      <charset val="129"/>
    </font>
    <font>
      <b/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41" fontId="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</cellStyleXfs>
  <cellXfs count="130">
    <xf numFmtId="0" fontId="0" fillId="0" borderId="0" xfId="0"/>
    <xf numFmtId="0" fontId="5" fillId="0" borderId="0" xfId="0" applyFont="1"/>
    <xf numFmtId="3" fontId="2" fillId="0" borderId="0" xfId="0" applyNumberFormat="1" applyFont="1" applyAlignment="1">
      <alignment horizontal="center" vertical="center"/>
    </xf>
    <xf numFmtId="3" fontId="2" fillId="3" borderId="0" xfId="0" applyNumberFormat="1" applyFont="1" applyFill="1" applyAlignment="1">
      <alignment horizontal="center" vertical="center"/>
    </xf>
    <xf numFmtId="3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1" fontId="2" fillId="0" borderId="0" xfId="2" applyFont="1" applyFill="1" applyBorder="1" applyAlignment="1">
      <alignment horizontal="center" vertical="center"/>
    </xf>
    <xf numFmtId="41" fontId="2" fillId="0" borderId="0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" fontId="2" fillId="0" borderId="0" xfId="1" applyNumberFormat="1" applyFont="1" applyFill="1" applyBorder="1" applyAlignment="1">
      <alignment horizontal="center" vertical="center" wrapText="1"/>
    </xf>
    <xf numFmtId="3" fontId="2" fillId="0" borderId="0" xfId="1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Continuous" vertical="center"/>
    </xf>
    <xf numFmtId="3" fontId="9" fillId="0" borderId="0" xfId="0" applyNumberFormat="1" applyFont="1" applyAlignment="1">
      <alignment horizontal="centerContinuous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distributed" vertical="center"/>
    </xf>
    <xf numFmtId="0" fontId="11" fillId="0" borderId="1" xfId="0" applyFont="1" applyBorder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3" fontId="2" fillId="0" borderId="0" xfId="0" applyNumberFormat="1" applyFont="1" applyAlignment="1">
      <alignment vertical="center"/>
    </xf>
    <xf numFmtId="0" fontId="5" fillId="2" borderId="0" xfId="0" applyFont="1" applyFill="1"/>
    <xf numFmtId="0" fontId="2" fillId="0" borderId="9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3" fontId="12" fillId="0" borderId="3" xfId="0" applyNumberFormat="1" applyFont="1" applyBorder="1" applyAlignment="1">
      <alignment horizontal="right" vertical="center"/>
    </xf>
    <xf numFmtId="0" fontId="12" fillId="0" borderId="3" xfId="0" applyFont="1" applyBorder="1" applyAlignment="1">
      <alignment horizontal="center" vertical="center"/>
    </xf>
    <xf numFmtId="3" fontId="2" fillId="0" borderId="8" xfId="0" applyNumberFormat="1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3" fontId="2" fillId="0" borderId="3" xfId="0" applyNumberFormat="1" applyFont="1" applyBorder="1" applyAlignment="1">
      <alignment horizontal="right" vertical="center"/>
    </xf>
    <xf numFmtId="0" fontId="2" fillId="0" borderId="3" xfId="0" quotePrefix="1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/>
    </xf>
    <xf numFmtId="3" fontId="2" fillId="3" borderId="3" xfId="0" applyNumberFormat="1" applyFont="1" applyFill="1" applyBorder="1" applyAlignment="1">
      <alignment horizontal="right" vertical="center"/>
    </xf>
    <xf numFmtId="0" fontId="2" fillId="3" borderId="3" xfId="0" quotePrefix="1" applyFont="1" applyFill="1" applyBorder="1" applyAlignment="1">
      <alignment horizontal="center" vertical="center"/>
    </xf>
    <xf numFmtId="3" fontId="2" fillId="3" borderId="8" xfId="0" applyNumberFormat="1" applyFont="1" applyFill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41" fontId="2" fillId="0" borderId="8" xfId="2" applyFont="1" applyFill="1" applyBorder="1" applyAlignment="1">
      <alignment horizontal="center" vertical="center"/>
    </xf>
    <xf numFmtId="41" fontId="2" fillId="0" borderId="8" xfId="2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shrinkToFit="1"/>
    </xf>
    <xf numFmtId="3" fontId="2" fillId="0" borderId="8" xfId="1" applyNumberFormat="1" applyFont="1" applyFill="1" applyBorder="1" applyAlignment="1">
      <alignment horizontal="center" vertical="center" wrapText="1"/>
    </xf>
    <xf numFmtId="3" fontId="2" fillId="0" borderId="8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 wrapText="1" shrinkToFit="1"/>
    </xf>
    <xf numFmtId="0" fontId="2" fillId="0" borderId="3" xfId="0" applyFont="1" applyBorder="1" applyAlignment="1">
      <alignment horizontal="distributed" vertical="center"/>
    </xf>
    <xf numFmtId="0" fontId="2" fillId="0" borderId="3" xfId="0" applyFont="1" applyBorder="1" applyAlignment="1">
      <alignment horizontal="distributed" vertical="center" wrapText="1"/>
    </xf>
    <xf numFmtId="0" fontId="5" fillId="0" borderId="7" xfId="0" applyFont="1" applyBorder="1"/>
    <xf numFmtId="0" fontId="2" fillId="3" borderId="3" xfId="0" applyFont="1" applyFill="1" applyBorder="1" applyAlignment="1">
      <alignment horizontal="left" vertical="center" wrapText="1"/>
    </xf>
    <xf numFmtId="3" fontId="2" fillId="0" borderId="9" xfId="0" applyNumberFormat="1" applyFont="1" applyBorder="1" applyAlignment="1">
      <alignment horizontal="right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3" fontId="2" fillId="0" borderId="13" xfId="0" applyNumberFormat="1" applyFont="1" applyBorder="1" applyAlignment="1">
      <alignment horizontal="right" vertical="center"/>
    </xf>
    <xf numFmtId="0" fontId="2" fillId="0" borderId="13" xfId="0" quotePrefix="1" applyFont="1" applyBorder="1" applyAlignment="1">
      <alignment horizontal="center" vertical="center"/>
    </xf>
    <xf numFmtId="3" fontId="2" fillId="0" borderId="14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9" xfId="0" quotePrefix="1" applyFont="1" applyBorder="1" applyAlignment="1">
      <alignment horizontal="center" vertical="center" wrapText="1"/>
    </xf>
    <xf numFmtId="3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 wrapText="1"/>
    </xf>
    <xf numFmtId="0" fontId="2" fillId="3" borderId="9" xfId="0" applyFont="1" applyFill="1" applyBorder="1" applyAlignment="1">
      <alignment horizontal="center" vertical="center"/>
    </xf>
    <xf numFmtId="41" fontId="2" fillId="0" borderId="14" xfId="2" applyFont="1" applyFill="1" applyBorder="1" applyAlignment="1">
      <alignment horizontal="center" vertical="center"/>
    </xf>
    <xf numFmtId="41" fontId="2" fillId="0" borderId="10" xfId="2" applyFont="1" applyFill="1" applyBorder="1" applyAlignment="1">
      <alignment horizontal="center" vertical="center"/>
    </xf>
    <xf numFmtId="0" fontId="2" fillId="0" borderId="13" xfId="0" applyFont="1" applyBorder="1" applyAlignment="1">
      <alignment horizontal="left" vertical="center" wrapText="1"/>
    </xf>
    <xf numFmtId="3" fontId="2" fillId="0" borderId="14" xfId="0" applyNumberFormat="1" applyFont="1" applyBorder="1" applyAlignment="1">
      <alignment horizontal="center" vertical="center"/>
    </xf>
    <xf numFmtId="0" fontId="2" fillId="0" borderId="9" xfId="0" quotePrefix="1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2" fillId="0" borderId="13" xfId="0" quotePrefix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0" borderId="12" xfId="0" applyFont="1" applyBorder="1"/>
    <xf numFmtId="0" fontId="2" fillId="0" borderId="13" xfId="0" applyFont="1" applyBorder="1" applyAlignment="1">
      <alignment horizontal="distributed" vertical="center" wrapText="1"/>
    </xf>
    <xf numFmtId="0" fontId="5" fillId="0" borderId="15" xfId="0" applyFont="1" applyBorder="1" applyAlignment="1">
      <alignment vertical="center"/>
    </xf>
    <xf numFmtId="0" fontId="2" fillId="0" borderId="16" xfId="0" applyFont="1" applyBorder="1" applyAlignment="1">
      <alignment horizontal="distributed" vertical="center" wrapText="1"/>
    </xf>
    <xf numFmtId="0" fontId="2" fillId="0" borderId="16" xfId="0" applyFont="1" applyBorder="1" applyAlignment="1">
      <alignment horizontal="left" vertical="center"/>
    </xf>
    <xf numFmtId="3" fontId="2" fillId="0" borderId="16" xfId="0" applyNumberFormat="1" applyFont="1" applyBorder="1" applyAlignment="1">
      <alignment horizontal="right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5" fillId="0" borderId="21" xfId="0" applyFont="1" applyBorder="1"/>
    <xf numFmtId="0" fontId="5" fillId="0" borderId="22" xfId="0" applyFont="1" applyBorder="1"/>
    <xf numFmtId="0" fontId="5" fillId="0" borderId="23" xfId="0" applyFont="1" applyBorder="1"/>
    <xf numFmtId="0" fontId="2" fillId="0" borderId="13" xfId="0" applyFont="1" applyBorder="1" applyAlignment="1">
      <alignment vertical="center" wrapText="1" shrinkToFit="1"/>
    </xf>
    <xf numFmtId="3" fontId="2" fillId="0" borderId="14" xfId="1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 shrinkToFit="1"/>
    </xf>
    <xf numFmtId="3" fontId="2" fillId="0" borderId="3" xfId="0" applyNumberFormat="1" applyFont="1" applyBorder="1" applyAlignment="1">
      <alignment vertical="center"/>
    </xf>
    <xf numFmtId="3" fontId="2" fillId="0" borderId="9" xfId="0" applyNumberFormat="1" applyFont="1" applyBorder="1" applyAlignment="1">
      <alignment vertical="center"/>
    </xf>
    <xf numFmtId="3" fontId="2" fillId="0" borderId="13" xfId="0" applyNumberFormat="1" applyFont="1" applyBorder="1" applyAlignment="1">
      <alignment vertical="center"/>
    </xf>
    <xf numFmtId="3" fontId="2" fillId="0" borderId="3" xfId="2" applyNumberFormat="1" applyFont="1" applyFill="1" applyBorder="1" applyAlignment="1">
      <alignment horizontal="right" vertical="center"/>
    </xf>
    <xf numFmtId="3" fontId="2" fillId="0" borderId="9" xfId="2" applyNumberFormat="1" applyFont="1" applyFill="1" applyBorder="1" applyAlignment="1">
      <alignment horizontal="right" vertical="center"/>
    </xf>
    <xf numFmtId="3" fontId="2" fillId="0" borderId="13" xfId="2" applyNumberFormat="1" applyFont="1" applyFill="1" applyBorder="1" applyAlignment="1">
      <alignment horizontal="right" vertical="center"/>
    </xf>
    <xf numFmtId="3" fontId="2" fillId="0" borderId="3" xfId="2" applyNumberFormat="1" applyFont="1" applyFill="1" applyBorder="1" applyAlignment="1">
      <alignment vertical="center" wrapText="1"/>
    </xf>
    <xf numFmtId="0" fontId="2" fillId="0" borderId="13" xfId="2" applyNumberFormat="1" applyFont="1" applyFill="1" applyBorder="1" applyAlignment="1">
      <alignment horizontal="center" vertical="center"/>
    </xf>
    <xf numFmtId="0" fontId="2" fillId="0" borderId="3" xfId="2" applyNumberFormat="1" applyFont="1" applyFill="1" applyBorder="1" applyAlignment="1">
      <alignment horizontal="center" vertical="center"/>
    </xf>
    <xf numFmtId="0" fontId="2" fillId="0" borderId="9" xfId="2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176" fontId="2" fillId="0" borderId="3" xfId="0" quotePrefix="1" applyNumberFormat="1" applyFont="1" applyBorder="1" applyAlignment="1">
      <alignment horizontal="center" vertical="center"/>
    </xf>
    <xf numFmtId="176" fontId="2" fillId="0" borderId="3" xfId="0" quotePrefix="1" applyNumberFormat="1" applyFont="1" applyBorder="1" applyAlignment="1">
      <alignment horizontal="center" vertical="center" wrapText="1"/>
    </xf>
    <xf numFmtId="0" fontId="2" fillId="0" borderId="26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9" xfId="0" applyFont="1" applyBorder="1" applyAlignment="1">
      <alignment vertical="center" wrapText="1"/>
    </xf>
    <xf numFmtId="0" fontId="2" fillId="0" borderId="13" xfId="0" applyFont="1" applyBorder="1" applyAlignment="1">
      <alignment vertical="center" shrinkToFit="1"/>
    </xf>
    <xf numFmtId="3" fontId="2" fillId="0" borderId="14" xfId="1" applyNumberFormat="1" applyFont="1" applyFill="1" applyBorder="1" applyAlignment="1">
      <alignment horizontal="center" vertical="center" wrapText="1"/>
    </xf>
    <xf numFmtId="3" fontId="2" fillId="0" borderId="10" xfId="1" applyNumberFormat="1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distributed" vertical="center"/>
    </xf>
    <xf numFmtId="0" fontId="2" fillId="0" borderId="9" xfId="0" applyFont="1" applyBorder="1" applyAlignment="1">
      <alignment horizontal="distributed" vertical="center"/>
    </xf>
    <xf numFmtId="0" fontId="12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</cellXfs>
  <cellStyles count="3">
    <cellStyle name="쉼표 [0]" xfId="2" builtinId="6"/>
    <cellStyle name="쉼표 [0] 2" xfId="1" xr:uid="{00000000-0005-0000-0000-000001000000}"/>
    <cellStyle name="표준" xfId="0" builtinId="0"/>
  </cellStyles>
  <dxfs count="0"/>
  <tableStyles count="0" defaultTableStyle="TableStyleMedium2" defaultPivotStyle="PivotStyleMedium9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9"/>
  <sheetViews>
    <sheetView tabSelected="1" view="pageBreakPreview" zoomScaleNormal="100" zoomScaleSheetLayoutView="100" workbookViewId="0">
      <pane xSplit="1" ySplit="4" topLeftCell="B29" activePane="bottomRight" state="frozen"/>
      <selection pane="topRight" activeCell="B1" sqref="B1"/>
      <selection pane="bottomLeft" activeCell="A5" sqref="A5"/>
      <selection pane="bottomRight" activeCell="C33" sqref="C33"/>
    </sheetView>
  </sheetViews>
  <sheetFormatPr defaultRowHeight="16.5" x14ac:dyDescent="0.3"/>
  <cols>
    <col min="1" max="1" width="10.875" style="1" customWidth="1"/>
    <col min="2" max="2" width="13.875" style="1" customWidth="1"/>
    <col min="3" max="3" width="44.75" style="1" customWidth="1"/>
    <col min="4" max="4" width="9.625" style="1" customWidth="1"/>
    <col min="5" max="5" width="6.5" style="1" customWidth="1"/>
    <col min="6" max="6" width="11.25" style="1" customWidth="1"/>
    <col min="7" max="7" width="12.125" style="1" customWidth="1"/>
    <col min="8" max="8" width="9" style="11"/>
    <col min="9" max="16384" width="9" style="1"/>
  </cols>
  <sheetData>
    <row r="1" spans="1:9" ht="30" customHeight="1" x14ac:dyDescent="0.3">
      <c r="A1" s="12" t="s">
        <v>122</v>
      </c>
      <c r="B1" s="13"/>
      <c r="C1" s="14"/>
      <c r="D1" s="14"/>
      <c r="E1" s="14"/>
      <c r="F1" s="15"/>
      <c r="G1" s="15"/>
    </row>
    <row r="2" spans="1:9" ht="26.25" customHeight="1" x14ac:dyDescent="0.3">
      <c r="A2" s="127" t="s">
        <v>365</v>
      </c>
      <c r="B2" s="127"/>
      <c r="C2" s="16"/>
      <c r="D2" s="17"/>
      <c r="E2" s="18"/>
      <c r="F2" s="19" t="s">
        <v>123</v>
      </c>
      <c r="G2" s="20"/>
    </row>
    <row r="3" spans="1:9" ht="30" customHeight="1" x14ac:dyDescent="0.3">
      <c r="A3" s="27" t="s">
        <v>124</v>
      </c>
      <c r="B3" s="28" t="s">
        <v>125</v>
      </c>
      <c r="C3" s="29" t="s">
        <v>126</v>
      </c>
      <c r="D3" s="29" t="s">
        <v>127</v>
      </c>
      <c r="E3" s="29" t="s">
        <v>128</v>
      </c>
      <c r="F3" s="30" t="s">
        <v>129</v>
      </c>
      <c r="G3" s="2"/>
      <c r="H3" s="21" t="s">
        <v>351</v>
      </c>
    </row>
    <row r="4" spans="1:9" ht="29.1" customHeight="1" x14ac:dyDescent="0.3">
      <c r="A4" s="31" t="s">
        <v>130</v>
      </c>
      <c r="B4" s="126" t="s">
        <v>447</v>
      </c>
      <c r="C4" s="126"/>
      <c r="D4" s="32">
        <f>SUM(D5,D135,D186,D199)</f>
        <v>2005413</v>
      </c>
      <c r="E4" s="33"/>
      <c r="F4" s="34"/>
      <c r="G4" s="22"/>
    </row>
    <row r="5" spans="1:9" ht="29.1" customHeight="1" x14ac:dyDescent="0.3">
      <c r="A5" s="31" t="s">
        <v>131</v>
      </c>
      <c r="B5" s="126" t="s">
        <v>364</v>
      </c>
      <c r="C5" s="126"/>
      <c r="D5" s="32">
        <f>SUM(D6:D134)</f>
        <v>1381601</v>
      </c>
      <c r="E5" s="33"/>
      <c r="F5" s="34"/>
      <c r="G5" s="22"/>
    </row>
    <row r="6" spans="1:9" ht="27" customHeight="1" x14ac:dyDescent="0.3">
      <c r="A6" s="35"/>
      <c r="B6" s="36" t="s">
        <v>7</v>
      </c>
      <c r="C6" s="49" t="s">
        <v>132</v>
      </c>
      <c r="D6" s="38">
        <v>4900</v>
      </c>
      <c r="E6" s="39" t="s">
        <v>19</v>
      </c>
      <c r="F6" s="40" t="s">
        <v>8</v>
      </c>
      <c r="G6" s="2"/>
      <c r="H6" s="11" t="s">
        <v>330</v>
      </c>
    </row>
    <row r="7" spans="1:9" ht="27" customHeight="1" x14ac:dyDescent="0.3">
      <c r="A7" s="35"/>
      <c r="B7" s="36" t="s">
        <v>7</v>
      </c>
      <c r="C7" s="49" t="s">
        <v>133</v>
      </c>
      <c r="D7" s="38">
        <v>6400</v>
      </c>
      <c r="E7" s="39">
        <v>4</v>
      </c>
      <c r="F7" s="40" t="s">
        <v>9</v>
      </c>
      <c r="G7" s="2"/>
      <c r="H7" s="11" t="s">
        <v>330</v>
      </c>
    </row>
    <row r="8" spans="1:9" ht="27" customHeight="1" x14ac:dyDescent="0.3">
      <c r="A8" s="35"/>
      <c r="B8" s="36" t="s">
        <v>10</v>
      </c>
      <c r="C8" s="53" t="s">
        <v>134</v>
      </c>
      <c r="D8" s="38">
        <v>10300</v>
      </c>
      <c r="E8" s="39">
        <v>4</v>
      </c>
      <c r="F8" s="40" t="s">
        <v>8</v>
      </c>
      <c r="G8" s="2"/>
      <c r="H8" s="11" t="s">
        <v>330</v>
      </c>
      <c r="I8" s="23"/>
    </row>
    <row r="9" spans="1:9" ht="27" customHeight="1" x14ac:dyDescent="0.3">
      <c r="A9" s="35" t="s">
        <v>11</v>
      </c>
      <c r="B9" s="36" t="s">
        <v>12</v>
      </c>
      <c r="C9" s="49" t="s">
        <v>135</v>
      </c>
      <c r="D9" s="38">
        <v>14300</v>
      </c>
      <c r="E9" s="39">
        <v>4</v>
      </c>
      <c r="F9" s="40" t="s">
        <v>13</v>
      </c>
      <c r="G9" s="2"/>
      <c r="H9" s="11" t="s">
        <v>330</v>
      </c>
      <c r="I9" s="23"/>
    </row>
    <row r="10" spans="1:9" ht="27" customHeight="1" x14ac:dyDescent="0.3">
      <c r="A10" s="35" t="s">
        <v>11</v>
      </c>
      <c r="B10" s="36" t="s">
        <v>12</v>
      </c>
      <c r="C10" s="49" t="s">
        <v>366</v>
      </c>
      <c r="D10" s="38">
        <v>11270</v>
      </c>
      <c r="E10" s="39" t="s">
        <v>19</v>
      </c>
      <c r="F10" s="40" t="s">
        <v>63</v>
      </c>
      <c r="G10" s="2"/>
      <c r="H10" s="11" t="s">
        <v>330</v>
      </c>
    </row>
    <row r="11" spans="1:9" ht="27" customHeight="1" x14ac:dyDescent="0.3">
      <c r="A11" s="35"/>
      <c r="B11" s="36" t="s">
        <v>10</v>
      </c>
      <c r="C11" s="49" t="s">
        <v>257</v>
      </c>
      <c r="D11" s="38">
        <v>12540</v>
      </c>
      <c r="E11" s="39">
        <v>4</v>
      </c>
      <c r="F11" s="40" t="s">
        <v>136</v>
      </c>
      <c r="G11" s="2"/>
      <c r="H11" s="11" t="s">
        <v>330</v>
      </c>
    </row>
    <row r="12" spans="1:9" ht="27" customHeight="1" x14ac:dyDescent="0.3">
      <c r="A12" s="35"/>
      <c r="B12" s="36" t="s">
        <v>14</v>
      </c>
      <c r="C12" s="49" t="s">
        <v>258</v>
      </c>
      <c r="D12" s="38">
        <v>47300</v>
      </c>
      <c r="E12" s="39" t="s">
        <v>19</v>
      </c>
      <c r="F12" s="40" t="s">
        <v>20</v>
      </c>
      <c r="G12" s="2"/>
      <c r="H12" s="11" t="s">
        <v>330</v>
      </c>
    </row>
    <row r="13" spans="1:9" ht="27" customHeight="1" x14ac:dyDescent="0.3">
      <c r="A13" s="35"/>
      <c r="B13" s="36" t="s">
        <v>14</v>
      </c>
      <c r="C13" s="49" t="s">
        <v>259</v>
      </c>
      <c r="D13" s="38">
        <v>20700</v>
      </c>
      <c r="E13" s="39">
        <v>6</v>
      </c>
      <c r="F13" s="40" t="s">
        <v>15</v>
      </c>
      <c r="G13" s="2"/>
      <c r="H13" s="11" t="s">
        <v>330</v>
      </c>
    </row>
    <row r="14" spans="1:9" ht="27" customHeight="1" x14ac:dyDescent="0.3">
      <c r="A14" s="35"/>
      <c r="B14" s="36" t="s">
        <v>14</v>
      </c>
      <c r="C14" s="49" t="s">
        <v>260</v>
      </c>
      <c r="D14" s="38">
        <v>15100</v>
      </c>
      <c r="E14" s="39">
        <v>4</v>
      </c>
      <c r="F14" s="40" t="s">
        <v>61</v>
      </c>
      <c r="G14" s="2"/>
      <c r="H14" s="11" t="s">
        <v>330</v>
      </c>
    </row>
    <row r="15" spans="1:9" ht="27" customHeight="1" x14ac:dyDescent="0.3">
      <c r="A15" s="35"/>
      <c r="B15" s="36" t="s">
        <v>16</v>
      </c>
      <c r="C15" s="49" t="s">
        <v>261</v>
      </c>
      <c r="D15" s="38">
        <v>6100</v>
      </c>
      <c r="E15" s="39">
        <v>4</v>
      </c>
      <c r="F15" s="40" t="s">
        <v>18</v>
      </c>
      <c r="G15" s="2"/>
      <c r="H15" s="11" t="s">
        <v>330</v>
      </c>
    </row>
    <row r="16" spans="1:9" ht="27" customHeight="1" x14ac:dyDescent="0.3">
      <c r="A16" s="35"/>
      <c r="B16" s="36" t="s">
        <v>16</v>
      </c>
      <c r="C16" s="49" t="s">
        <v>262</v>
      </c>
      <c r="D16" s="38">
        <v>3000</v>
      </c>
      <c r="E16" s="39">
        <v>4</v>
      </c>
      <c r="F16" s="40" t="s">
        <v>112</v>
      </c>
      <c r="G16" s="2"/>
      <c r="H16" s="11" t="s">
        <v>330</v>
      </c>
    </row>
    <row r="17" spans="1:8" ht="27" customHeight="1" x14ac:dyDescent="0.3">
      <c r="A17" s="35"/>
      <c r="B17" s="36" t="s">
        <v>16</v>
      </c>
      <c r="C17" s="53" t="s">
        <v>263</v>
      </c>
      <c r="D17" s="38">
        <v>11600</v>
      </c>
      <c r="E17" s="39">
        <v>4</v>
      </c>
      <c r="F17" s="40" t="s">
        <v>17</v>
      </c>
      <c r="G17" s="2"/>
      <c r="H17" s="11" t="s">
        <v>330</v>
      </c>
    </row>
    <row r="18" spans="1:8" ht="27" customHeight="1" x14ac:dyDescent="0.3">
      <c r="A18" s="35"/>
      <c r="B18" s="36" t="s">
        <v>137</v>
      </c>
      <c r="C18" s="53" t="s">
        <v>264</v>
      </c>
      <c r="D18" s="38">
        <v>20900</v>
      </c>
      <c r="E18" s="39" t="s">
        <v>68</v>
      </c>
      <c r="F18" s="40" t="s">
        <v>99</v>
      </c>
      <c r="G18" s="2"/>
      <c r="H18" s="11" t="s">
        <v>330</v>
      </c>
    </row>
    <row r="19" spans="1:8" ht="27" customHeight="1" x14ac:dyDescent="0.3">
      <c r="A19" s="35"/>
      <c r="B19" s="36" t="s">
        <v>33</v>
      </c>
      <c r="C19" s="53" t="s">
        <v>486</v>
      </c>
      <c r="D19" s="38">
        <v>9340</v>
      </c>
      <c r="E19" s="39">
        <v>4</v>
      </c>
      <c r="F19" s="40" t="s">
        <v>138</v>
      </c>
      <c r="G19" s="2"/>
      <c r="H19" s="11" t="s">
        <v>330</v>
      </c>
    </row>
    <row r="20" spans="1:8" ht="27" customHeight="1" x14ac:dyDescent="0.3">
      <c r="A20" s="35"/>
      <c r="B20" s="36" t="s">
        <v>33</v>
      </c>
      <c r="C20" s="53" t="s">
        <v>265</v>
      </c>
      <c r="D20" s="38">
        <v>6880</v>
      </c>
      <c r="E20" s="39">
        <v>4</v>
      </c>
      <c r="F20" s="40" t="s">
        <v>139</v>
      </c>
      <c r="G20" s="2"/>
      <c r="H20" s="11" t="s">
        <v>330</v>
      </c>
    </row>
    <row r="21" spans="1:8" ht="27" customHeight="1" x14ac:dyDescent="0.3">
      <c r="A21" s="35"/>
      <c r="B21" s="42" t="s">
        <v>367</v>
      </c>
      <c r="C21" s="62" t="s">
        <v>368</v>
      </c>
      <c r="D21" s="43">
        <v>7700</v>
      </c>
      <c r="E21" s="44">
        <v>4</v>
      </c>
      <c r="F21" s="45" t="s">
        <v>369</v>
      </c>
      <c r="G21" s="3"/>
      <c r="H21" s="11" t="s">
        <v>352</v>
      </c>
    </row>
    <row r="22" spans="1:8" ht="27" customHeight="1" x14ac:dyDescent="0.3">
      <c r="A22" s="35"/>
      <c r="B22" s="36" t="s">
        <v>1</v>
      </c>
      <c r="C22" s="53" t="s">
        <v>266</v>
      </c>
      <c r="D22" s="38">
        <v>14690</v>
      </c>
      <c r="E22" s="39">
        <v>4</v>
      </c>
      <c r="F22" s="40" t="s">
        <v>267</v>
      </c>
      <c r="G22" s="2"/>
      <c r="H22" s="11" t="s">
        <v>331</v>
      </c>
    </row>
    <row r="23" spans="1:8" ht="27" customHeight="1" x14ac:dyDescent="0.3">
      <c r="A23" s="35"/>
      <c r="B23" s="36" t="s">
        <v>1</v>
      </c>
      <c r="C23" s="53" t="s">
        <v>268</v>
      </c>
      <c r="D23" s="38">
        <v>21360</v>
      </c>
      <c r="E23" s="39">
        <v>4</v>
      </c>
      <c r="F23" s="46" t="s">
        <v>140</v>
      </c>
      <c r="G23" s="4"/>
      <c r="H23" s="11" t="s">
        <v>331</v>
      </c>
    </row>
    <row r="24" spans="1:8" ht="27" customHeight="1" x14ac:dyDescent="0.3">
      <c r="A24" s="35" t="s">
        <v>11</v>
      </c>
      <c r="B24" s="36" t="s">
        <v>10</v>
      </c>
      <c r="C24" s="53" t="s">
        <v>269</v>
      </c>
      <c r="D24" s="38">
        <v>5470</v>
      </c>
      <c r="E24" s="39">
        <v>4</v>
      </c>
      <c r="F24" s="46" t="s">
        <v>487</v>
      </c>
      <c r="G24" s="4"/>
      <c r="H24" s="11" t="s">
        <v>331</v>
      </c>
    </row>
    <row r="25" spans="1:8" ht="27" customHeight="1" x14ac:dyDescent="0.3">
      <c r="A25" s="35"/>
      <c r="B25" s="36" t="s">
        <v>21</v>
      </c>
      <c r="C25" s="49" t="s">
        <v>270</v>
      </c>
      <c r="D25" s="38">
        <v>20000</v>
      </c>
      <c r="E25" s="39">
        <v>4</v>
      </c>
      <c r="F25" s="40" t="s">
        <v>22</v>
      </c>
      <c r="G25" s="2"/>
      <c r="H25" s="11" t="s">
        <v>331</v>
      </c>
    </row>
    <row r="26" spans="1:8" ht="27" customHeight="1" x14ac:dyDescent="0.3">
      <c r="A26" s="35"/>
      <c r="B26" s="36" t="s">
        <v>21</v>
      </c>
      <c r="C26" s="49" t="s">
        <v>271</v>
      </c>
      <c r="D26" s="38">
        <v>13000</v>
      </c>
      <c r="E26" s="39">
        <v>4</v>
      </c>
      <c r="F26" s="40" t="s">
        <v>22</v>
      </c>
      <c r="G26" s="2"/>
      <c r="H26" s="11" t="s">
        <v>331</v>
      </c>
    </row>
    <row r="27" spans="1:8" ht="27" customHeight="1" x14ac:dyDescent="0.3">
      <c r="A27" s="35"/>
      <c r="B27" s="36" t="s">
        <v>0</v>
      </c>
      <c r="C27" s="49" t="s">
        <v>532</v>
      </c>
      <c r="D27" s="38">
        <v>7600</v>
      </c>
      <c r="E27" s="39">
        <v>4</v>
      </c>
      <c r="F27" s="40" t="s">
        <v>141</v>
      </c>
      <c r="G27" s="2"/>
      <c r="H27" s="11" t="s">
        <v>331</v>
      </c>
    </row>
    <row r="28" spans="1:8" ht="27" customHeight="1" x14ac:dyDescent="0.3">
      <c r="A28" s="35"/>
      <c r="B28" s="36" t="s">
        <v>0</v>
      </c>
      <c r="C28" s="49" t="s">
        <v>272</v>
      </c>
      <c r="D28" s="38">
        <v>2500</v>
      </c>
      <c r="E28" s="39">
        <v>4</v>
      </c>
      <c r="F28" s="40" t="s">
        <v>273</v>
      </c>
      <c r="G28" s="2"/>
      <c r="H28" s="11" t="s">
        <v>331</v>
      </c>
    </row>
    <row r="29" spans="1:8" ht="27" customHeight="1" x14ac:dyDescent="0.3">
      <c r="A29" s="70" t="s">
        <v>11</v>
      </c>
      <c r="B29" s="25" t="s">
        <v>274</v>
      </c>
      <c r="C29" s="24" t="s">
        <v>275</v>
      </c>
      <c r="D29" s="63">
        <v>6690</v>
      </c>
      <c r="E29" s="71">
        <v>4</v>
      </c>
      <c r="F29" s="72" t="s">
        <v>142</v>
      </c>
      <c r="G29" s="4"/>
      <c r="H29" s="11" t="s">
        <v>331</v>
      </c>
    </row>
    <row r="30" spans="1:8" ht="27.2" customHeight="1" x14ac:dyDescent="0.3">
      <c r="A30" s="64"/>
      <c r="B30" s="65" t="s">
        <v>6</v>
      </c>
      <c r="C30" s="66" t="s">
        <v>276</v>
      </c>
      <c r="D30" s="67">
        <v>14200</v>
      </c>
      <c r="E30" s="68">
        <v>4</v>
      </c>
      <c r="F30" s="69" t="s">
        <v>488</v>
      </c>
      <c r="G30" s="4"/>
      <c r="H30" s="11" t="s">
        <v>331</v>
      </c>
    </row>
    <row r="31" spans="1:8" ht="27.2" customHeight="1" x14ac:dyDescent="0.3">
      <c r="A31" s="35" t="s">
        <v>11</v>
      </c>
      <c r="B31" s="36" t="s">
        <v>10</v>
      </c>
      <c r="C31" s="49" t="s">
        <v>277</v>
      </c>
      <c r="D31" s="38">
        <v>11700</v>
      </c>
      <c r="E31" s="39">
        <v>4</v>
      </c>
      <c r="F31" s="40" t="s">
        <v>143</v>
      </c>
      <c r="G31" s="2"/>
      <c r="H31" s="11" t="s">
        <v>331</v>
      </c>
    </row>
    <row r="32" spans="1:8" ht="27.2" customHeight="1" x14ac:dyDescent="0.3">
      <c r="A32" s="35" t="s">
        <v>11</v>
      </c>
      <c r="B32" s="36" t="s">
        <v>10</v>
      </c>
      <c r="C32" s="49" t="s">
        <v>278</v>
      </c>
      <c r="D32" s="38">
        <v>7400</v>
      </c>
      <c r="E32" s="39">
        <v>4</v>
      </c>
      <c r="F32" s="40" t="s">
        <v>144</v>
      </c>
      <c r="G32" s="2"/>
      <c r="H32" s="11" t="s">
        <v>331</v>
      </c>
    </row>
    <row r="33" spans="1:8" ht="27.2" customHeight="1" x14ac:dyDescent="0.3">
      <c r="A33" s="35" t="s">
        <v>11</v>
      </c>
      <c r="B33" s="36" t="s">
        <v>279</v>
      </c>
      <c r="C33" s="49" t="s">
        <v>280</v>
      </c>
      <c r="D33" s="38">
        <v>7460</v>
      </c>
      <c r="E33" s="39">
        <v>4</v>
      </c>
      <c r="F33" s="40" t="s">
        <v>145</v>
      </c>
      <c r="G33" s="2"/>
      <c r="H33" s="11" t="s">
        <v>331</v>
      </c>
    </row>
    <row r="34" spans="1:8" ht="27.2" customHeight="1" x14ac:dyDescent="0.3">
      <c r="A34" s="35"/>
      <c r="B34" s="36" t="s">
        <v>10</v>
      </c>
      <c r="C34" s="49" t="s">
        <v>281</v>
      </c>
      <c r="D34" s="38">
        <v>9420</v>
      </c>
      <c r="E34" s="39">
        <v>4</v>
      </c>
      <c r="F34" s="40" t="s">
        <v>146</v>
      </c>
      <c r="G34" s="2"/>
      <c r="H34" s="11" t="s">
        <v>331</v>
      </c>
    </row>
    <row r="35" spans="1:8" ht="27.2" customHeight="1" x14ac:dyDescent="0.3">
      <c r="A35" s="35"/>
      <c r="B35" s="36" t="s">
        <v>282</v>
      </c>
      <c r="C35" s="49" t="s">
        <v>283</v>
      </c>
      <c r="D35" s="38">
        <v>13330</v>
      </c>
      <c r="E35" s="39">
        <v>4</v>
      </c>
      <c r="F35" s="40" t="s">
        <v>147</v>
      </c>
      <c r="G35" s="2"/>
      <c r="H35" s="11" t="s">
        <v>332</v>
      </c>
    </row>
    <row r="36" spans="1:8" ht="27.2" customHeight="1" x14ac:dyDescent="0.3">
      <c r="A36" s="35"/>
      <c r="B36" s="36" t="s">
        <v>12</v>
      </c>
      <c r="C36" s="49" t="s">
        <v>284</v>
      </c>
      <c r="D36" s="38">
        <v>5960</v>
      </c>
      <c r="E36" s="39">
        <v>6</v>
      </c>
      <c r="F36" s="40" t="s">
        <v>36</v>
      </c>
      <c r="G36" s="2"/>
      <c r="H36" s="11" t="s">
        <v>332</v>
      </c>
    </row>
    <row r="37" spans="1:8" ht="27.2" customHeight="1" x14ac:dyDescent="0.3">
      <c r="A37" s="35" t="s">
        <v>11</v>
      </c>
      <c r="B37" s="36" t="s">
        <v>55</v>
      </c>
      <c r="C37" s="49" t="s">
        <v>285</v>
      </c>
      <c r="D37" s="38">
        <v>7650</v>
      </c>
      <c r="E37" s="39">
        <v>4</v>
      </c>
      <c r="F37" s="40" t="s">
        <v>56</v>
      </c>
      <c r="G37" s="2"/>
      <c r="H37" s="11" t="s">
        <v>332</v>
      </c>
    </row>
    <row r="38" spans="1:8" ht="27.2" customHeight="1" x14ac:dyDescent="0.3">
      <c r="A38" s="35"/>
      <c r="B38" s="36" t="s">
        <v>52</v>
      </c>
      <c r="C38" s="49" t="s">
        <v>58</v>
      </c>
      <c r="D38" s="38">
        <v>5970</v>
      </c>
      <c r="E38" s="39">
        <v>6</v>
      </c>
      <c r="F38" s="40" t="s">
        <v>59</v>
      </c>
      <c r="G38" s="2"/>
      <c r="H38" s="11" t="s">
        <v>332</v>
      </c>
    </row>
    <row r="39" spans="1:8" ht="27.2" customHeight="1" x14ac:dyDescent="0.3">
      <c r="A39" s="35" t="s">
        <v>11</v>
      </c>
      <c r="B39" s="36" t="s">
        <v>286</v>
      </c>
      <c r="C39" s="49" t="s">
        <v>287</v>
      </c>
      <c r="D39" s="38">
        <v>11400</v>
      </c>
      <c r="E39" s="39">
        <v>4</v>
      </c>
      <c r="F39" s="40" t="s">
        <v>25</v>
      </c>
      <c r="G39" s="2"/>
      <c r="H39" s="11" t="s">
        <v>332</v>
      </c>
    </row>
    <row r="40" spans="1:8" ht="27.2" customHeight="1" x14ac:dyDescent="0.3">
      <c r="A40" s="35" t="s">
        <v>11</v>
      </c>
      <c r="B40" s="36" t="s">
        <v>33</v>
      </c>
      <c r="C40" s="49" t="s">
        <v>370</v>
      </c>
      <c r="D40" s="38">
        <v>2820</v>
      </c>
      <c r="E40" s="39">
        <v>4</v>
      </c>
      <c r="F40" s="40" t="s">
        <v>371</v>
      </c>
      <c r="G40" s="2"/>
      <c r="H40" s="11" t="s">
        <v>332</v>
      </c>
    </row>
    <row r="41" spans="1:8" ht="27.2" customHeight="1" x14ac:dyDescent="0.3">
      <c r="A41" s="35" t="s">
        <v>11</v>
      </c>
      <c r="B41" s="36" t="s">
        <v>6</v>
      </c>
      <c r="C41" s="49" t="s">
        <v>288</v>
      </c>
      <c r="D41" s="38">
        <v>10800</v>
      </c>
      <c r="E41" s="39">
        <v>4</v>
      </c>
      <c r="F41" s="40" t="s">
        <v>26</v>
      </c>
      <c r="G41" s="2"/>
      <c r="H41" s="11" t="s">
        <v>332</v>
      </c>
    </row>
    <row r="42" spans="1:8" ht="27.2" customHeight="1" x14ac:dyDescent="0.3">
      <c r="A42" s="35" t="s">
        <v>11</v>
      </c>
      <c r="B42" s="36" t="s">
        <v>14</v>
      </c>
      <c r="C42" s="49" t="s">
        <v>289</v>
      </c>
      <c r="D42" s="38">
        <v>7200</v>
      </c>
      <c r="E42" s="39">
        <v>4</v>
      </c>
      <c r="F42" s="40" t="s">
        <v>148</v>
      </c>
      <c r="G42" s="2"/>
      <c r="H42" s="11" t="s">
        <v>332</v>
      </c>
    </row>
    <row r="43" spans="1:8" ht="27.2" customHeight="1" x14ac:dyDescent="0.3">
      <c r="A43" s="35" t="s">
        <v>11</v>
      </c>
      <c r="B43" s="36" t="s">
        <v>43</v>
      </c>
      <c r="C43" s="49" t="s">
        <v>290</v>
      </c>
      <c r="D43" s="38">
        <v>7400</v>
      </c>
      <c r="E43" s="39">
        <v>4</v>
      </c>
      <c r="F43" s="40" t="s">
        <v>18</v>
      </c>
      <c r="G43" s="2"/>
      <c r="H43" s="11" t="s">
        <v>332</v>
      </c>
    </row>
    <row r="44" spans="1:8" ht="27.2" customHeight="1" x14ac:dyDescent="0.3">
      <c r="A44" s="35" t="s">
        <v>11</v>
      </c>
      <c r="B44" s="36" t="s">
        <v>21</v>
      </c>
      <c r="C44" s="49" t="s">
        <v>291</v>
      </c>
      <c r="D44" s="38">
        <v>8200</v>
      </c>
      <c r="E44" s="39">
        <v>4</v>
      </c>
      <c r="F44" s="40" t="s">
        <v>18</v>
      </c>
      <c r="G44" s="2"/>
      <c r="H44" s="11" t="s">
        <v>332</v>
      </c>
    </row>
    <row r="45" spans="1:8" ht="27.2" customHeight="1" x14ac:dyDescent="0.3">
      <c r="A45" s="35" t="s">
        <v>11</v>
      </c>
      <c r="B45" s="36" t="s">
        <v>29</v>
      </c>
      <c r="C45" s="49" t="s">
        <v>292</v>
      </c>
      <c r="D45" s="38">
        <v>4000</v>
      </c>
      <c r="E45" s="39">
        <v>4</v>
      </c>
      <c r="F45" s="40" t="s">
        <v>30</v>
      </c>
      <c r="G45" s="2"/>
      <c r="H45" s="11" t="s">
        <v>332</v>
      </c>
    </row>
    <row r="46" spans="1:8" ht="27.2" customHeight="1" x14ac:dyDescent="0.3">
      <c r="A46" s="35"/>
      <c r="B46" s="36" t="s">
        <v>31</v>
      </c>
      <c r="C46" s="49" t="s">
        <v>293</v>
      </c>
      <c r="D46" s="38">
        <v>11510</v>
      </c>
      <c r="E46" s="39">
        <v>4</v>
      </c>
      <c r="F46" s="40" t="s">
        <v>32</v>
      </c>
      <c r="G46" s="2"/>
      <c r="H46" s="11" t="s">
        <v>332</v>
      </c>
    </row>
    <row r="47" spans="1:8" ht="27.2" customHeight="1" x14ac:dyDescent="0.3">
      <c r="A47" s="35"/>
      <c r="B47" s="36" t="s">
        <v>27</v>
      </c>
      <c r="C47" s="49" t="s">
        <v>294</v>
      </c>
      <c r="D47" s="38">
        <v>12700</v>
      </c>
      <c r="E47" s="39">
        <v>4</v>
      </c>
      <c r="F47" s="40" t="s">
        <v>18</v>
      </c>
      <c r="G47" s="2"/>
      <c r="H47" s="11" t="s">
        <v>332</v>
      </c>
    </row>
    <row r="48" spans="1:8" ht="27.2" customHeight="1" x14ac:dyDescent="0.3">
      <c r="A48" s="35" t="s">
        <v>11</v>
      </c>
      <c r="B48" s="36" t="s">
        <v>295</v>
      </c>
      <c r="C48" s="49" t="s">
        <v>296</v>
      </c>
      <c r="D48" s="38">
        <v>4900</v>
      </c>
      <c r="E48" s="39">
        <v>4</v>
      </c>
      <c r="F48" s="40" t="s">
        <v>297</v>
      </c>
      <c r="G48" s="2"/>
      <c r="H48" s="11" t="s">
        <v>332</v>
      </c>
    </row>
    <row r="49" spans="1:8" ht="27.2" customHeight="1" x14ac:dyDescent="0.3">
      <c r="A49" s="35" t="s">
        <v>11</v>
      </c>
      <c r="B49" s="36" t="s">
        <v>12</v>
      </c>
      <c r="C49" s="49" t="s">
        <v>298</v>
      </c>
      <c r="D49" s="38">
        <v>8900</v>
      </c>
      <c r="E49" s="39">
        <v>4</v>
      </c>
      <c r="F49" s="40" t="s">
        <v>299</v>
      </c>
      <c r="G49" s="2"/>
      <c r="H49" s="11" t="s">
        <v>332</v>
      </c>
    </row>
    <row r="50" spans="1:8" ht="27.2" customHeight="1" x14ac:dyDescent="0.3">
      <c r="A50" s="35" t="s">
        <v>11</v>
      </c>
      <c r="B50" s="36" t="s">
        <v>12</v>
      </c>
      <c r="C50" s="49" t="s">
        <v>300</v>
      </c>
      <c r="D50" s="38">
        <v>11900</v>
      </c>
      <c r="E50" s="39" t="s">
        <v>19</v>
      </c>
      <c r="F50" s="40" t="s">
        <v>301</v>
      </c>
      <c r="G50" s="2"/>
      <c r="H50" s="11" t="s">
        <v>332</v>
      </c>
    </row>
    <row r="51" spans="1:8" ht="27.2" customHeight="1" x14ac:dyDescent="0.3">
      <c r="A51" s="35" t="s">
        <v>11</v>
      </c>
      <c r="B51" s="36" t="s">
        <v>33</v>
      </c>
      <c r="C51" s="49" t="s">
        <v>34</v>
      </c>
      <c r="D51" s="38">
        <v>6600</v>
      </c>
      <c r="E51" s="39">
        <v>4</v>
      </c>
      <c r="F51" s="40" t="s">
        <v>35</v>
      </c>
      <c r="G51" s="2"/>
      <c r="H51" s="11" t="s">
        <v>332</v>
      </c>
    </row>
    <row r="52" spans="1:8" ht="27.2" customHeight="1" x14ac:dyDescent="0.3">
      <c r="A52" s="35" t="s">
        <v>11</v>
      </c>
      <c r="B52" s="36" t="s">
        <v>27</v>
      </c>
      <c r="C52" s="49" t="s">
        <v>302</v>
      </c>
      <c r="D52" s="108">
        <v>10400</v>
      </c>
      <c r="E52" s="36">
        <v>4</v>
      </c>
      <c r="F52" s="48" t="s">
        <v>28</v>
      </c>
      <c r="G52" s="5"/>
      <c r="H52" s="11" t="s">
        <v>332</v>
      </c>
    </row>
    <row r="53" spans="1:8" ht="27.2" customHeight="1" x14ac:dyDescent="0.3">
      <c r="A53" s="35"/>
      <c r="B53" s="36" t="s">
        <v>31</v>
      </c>
      <c r="C53" s="53" t="s">
        <v>489</v>
      </c>
      <c r="D53" s="108">
        <v>10500</v>
      </c>
      <c r="E53" s="42">
        <v>4</v>
      </c>
      <c r="F53" s="48" t="s">
        <v>372</v>
      </c>
      <c r="G53" s="5"/>
      <c r="H53" s="11" t="s">
        <v>333</v>
      </c>
    </row>
    <row r="54" spans="1:8" ht="27.2" customHeight="1" x14ac:dyDescent="0.3">
      <c r="A54" s="35"/>
      <c r="B54" s="36" t="s">
        <v>31</v>
      </c>
      <c r="C54" s="49" t="s">
        <v>373</v>
      </c>
      <c r="D54" s="108">
        <v>12600</v>
      </c>
      <c r="E54" s="42">
        <v>4</v>
      </c>
      <c r="F54" s="48" t="s">
        <v>374</v>
      </c>
      <c r="G54" s="6"/>
      <c r="H54" s="11" t="s">
        <v>333</v>
      </c>
    </row>
    <row r="55" spans="1:8" ht="27.2" customHeight="1" x14ac:dyDescent="0.3">
      <c r="A55" s="35"/>
      <c r="B55" s="36" t="s">
        <v>31</v>
      </c>
      <c r="C55" s="49" t="s">
        <v>375</v>
      </c>
      <c r="D55" s="108">
        <v>13300</v>
      </c>
      <c r="E55" s="42">
        <v>4</v>
      </c>
      <c r="F55" s="48" t="s">
        <v>374</v>
      </c>
      <c r="G55" s="6"/>
      <c r="H55" s="11" t="s">
        <v>333</v>
      </c>
    </row>
    <row r="56" spans="1:8" ht="27.2" customHeight="1" x14ac:dyDescent="0.3">
      <c r="A56" s="70"/>
      <c r="B56" s="25" t="s">
        <v>31</v>
      </c>
      <c r="C56" s="74" t="s">
        <v>376</v>
      </c>
      <c r="D56" s="109">
        <v>8200</v>
      </c>
      <c r="E56" s="75">
        <v>4</v>
      </c>
      <c r="F56" s="26" t="s">
        <v>374</v>
      </c>
      <c r="G56" s="7"/>
      <c r="H56" s="11" t="s">
        <v>333</v>
      </c>
    </row>
    <row r="57" spans="1:8" ht="29.25" customHeight="1" x14ac:dyDescent="0.3">
      <c r="A57" s="64" t="s">
        <v>11</v>
      </c>
      <c r="B57" s="65" t="s">
        <v>40</v>
      </c>
      <c r="C57" s="66" t="s">
        <v>377</v>
      </c>
      <c r="D57" s="110">
        <v>9220</v>
      </c>
      <c r="E57" s="112">
        <v>4</v>
      </c>
      <c r="F57" s="73" t="s">
        <v>378</v>
      </c>
      <c r="G57" s="6"/>
      <c r="H57" s="11" t="s">
        <v>333</v>
      </c>
    </row>
    <row r="58" spans="1:8" ht="29.25" customHeight="1" x14ac:dyDescent="0.3">
      <c r="A58" s="35" t="s">
        <v>11</v>
      </c>
      <c r="B58" s="36" t="s">
        <v>42</v>
      </c>
      <c r="C58" s="49" t="s">
        <v>379</v>
      </c>
      <c r="D58" s="108">
        <v>9280</v>
      </c>
      <c r="E58" s="113">
        <v>4</v>
      </c>
      <c r="F58" s="50" t="s">
        <v>380</v>
      </c>
      <c r="G58" s="6"/>
      <c r="H58" s="11" t="s">
        <v>333</v>
      </c>
    </row>
    <row r="59" spans="1:8" ht="29.25" customHeight="1" x14ac:dyDescent="0.3">
      <c r="A59" s="35" t="s">
        <v>11</v>
      </c>
      <c r="B59" s="36" t="s">
        <v>42</v>
      </c>
      <c r="C59" s="49" t="s">
        <v>381</v>
      </c>
      <c r="D59" s="108">
        <v>7810</v>
      </c>
      <c r="E59" s="113">
        <v>4</v>
      </c>
      <c r="F59" s="50" t="s">
        <v>382</v>
      </c>
      <c r="G59" s="6"/>
      <c r="H59" s="11" t="s">
        <v>333</v>
      </c>
    </row>
    <row r="60" spans="1:8" ht="29.25" customHeight="1" x14ac:dyDescent="0.3">
      <c r="A60" s="35" t="s">
        <v>11</v>
      </c>
      <c r="B60" s="36" t="s">
        <v>39</v>
      </c>
      <c r="C60" s="49" t="s">
        <v>383</v>
      </c>
      <c r="D60" s="108">
        <v>19500</v>
      </c>
      <c r="E60" s="113">
        <v>4</v>
      </c>
      <c r="F60" s="51" t="s">
        <v>490</v>
      </c>
      <c r="G60" s="7"/>
      <c r="H60" s="11" t="s">
        <v>333</v>
      </c>
    </row>
    <row r="61" spans="1:8" ht="29.25" customHeight="1" x14ac:dyDescent="0.3">
      <c r="A61" s="35" t="s">
        <v>11</v>
      </c>
      <c r="B61" s="36" t="s">
        <v>39</v>
      </c>
      <c r="C61" s="49" t="s">
        <v>384</v>
      </c>
      <c r="D61" s="108">
        <v>3820</v>
      </c>
      <c r="E61" s="113">
        <v>4</v>
      </c>
      <c r="F61" s="50" t="s">
        <v>385</v>
      </c>
      <c r="G61" s="6"/>
      <c r="H61" s="11" t="s">
        <v>333</v>
      </c>
    </row>
    <row r="62" spans="1:8" ht="29.25" customHeight="1" x14ac:dyDescent="0.3">
      <c r="A62" s="35" t="s">
        <v>11</v>
      </c>
      <c r="B62" s="36" t="s">
        <v>39</v>
      </c>
      <c r="C62" s="49" t="s">
        <v>386</v>
      </c>
      <c r="D62" s="108">
        <v>4900</v>
      </c>
      <c r="E62" s="113">
        <v>8</v>
      </c>
      <c r="F62" s="50" t="s">
        <v>387</v>
      </c>
      <c r="G62" s="6"/>
      <c r="H62" s="11" t="s">
        <v>333</v>
      </c>
    </row>
    <row r="63" spans="1:8" ht="29.25" customHeight="1" x14ac:dyDescent="0.3">
      <c r="A63" s="35" t="s">
        <v>11</v>
      </c>
      <c r="B63" s="36" t="s">
        <v>42</v>
      </c>
      <c r="C63" s="49" t="s">
        <v>388</v>
      </c>
      <c r="D63" s="108">
        <v>8000</v>
      </c>
      <c r="E63" s="113">
        <v>4</v>
      </c>
      <c r="F63" s="50" t="s">
        <v>389</v>
      </c>
      <c r="G63" s="6"/>
      <c r="H63" s="11" t="s">
        <v>333</v>
      </c>
    </row>
    <row r="64" spans="1:8" ht="29.25" customHeight="1" x14ac:dyDescent="0.3">
      <c r="A64" s="35" t="s">
        <v>11</v>
      </c>
      <c r="B64" s="36" t="s">
        <v>42</v>
      </c>
      <c r="C64" s="49" t="s">
        <v>390</v>
      </c>
      <c r="D64" s="108">
        <v>7200</v>
      </c>
      <c r="E64" s="113">
        <v>4</v>
      </c>
      <c r="F64" s="51" t="s">
        <v>491</v>
      </c>
      <c r="G64" s="6"/>
      <c r="H64" s="11" t="s">
        <v>333</v>
      </c>
    </row>
    <row r="65" spans="1:8" ht="29.25" customHeight="1" x14ac:dyDescent="0.3">
      <c r="A65" s="35"/>
      <c r="B65" s="36" t="s">
        <v>42</v>
      </c>
      <c r="C65" s="49" t="s">
        <v>391</v>
      </c>
      <c r="D65" s="108">
        <v>4405</v>
      </c>
      <c r="E65" s="113">
        <v>4</v>
      </c>
      <c r="F65" s="50" t="s">
        <v>392</v>
      </c>
      <c r="G65" s="7"/>
      <c r="H65" s="11" t="s">
        <v>333</v>
      </c>
    </row>
    <row r="66" spans="1:8" ht="29.25" customHeight="1" x14ac:dyDescent="0.3">
      <c r="A66" s="35"/>
      <c r="B66" s="36" t="s">
        <v>149</v>
      </c>
      <c r="C66" s="49" t="s">
        <v>393</v>
      </c>
      <c r="D66" s="108">
        <v>6500</v>
      </c>
      <c r="E66" s="113">
        <v>4</v>
      </c>
      <c r="F66" s="50" t="s">
        <v>394</v>
      </c>
      <c r="G66" s="6"/>
      <c r="H66" s="11" t="s">
        <v>333</v>
      </c>
    </row>
    <row r="67" spans="1:8" ht="29.25" customHeight="1" x14ac:dyDescent="0.3">
      <c r="A67" s="35"/>
      <c r="B67" s="36" t="s">
        <v>149</v>
      </c>
      <c r="C67" s="49" t="s">
        <v>395</v>
      </c>
      <c r="D67" s="108">
        <v>6000</v>
      </c>
      <c r="E67" s="113">
        <v>4</v>
      </c>
      <c r="F67" s="50" t="s">
        <v>394</v>
      </c>
      <c r="G67" s="6"/>
      <c r="H67" s="11" t="s">
        <v>333</v>
      </c>
    </row>
    <row r="68" spans="1:8" ht="29.25" customHeight="1" x14ac:dyDescent="0.3">
      <c r="A68" s="35"/>
      <c r="B68" s="36" t="s">
        <v>150</v>
      </c>
      <c r="C68" s="49" t="s">
        <v>396</v>
      </c>
      <c r="D68" s="108">
        <v>6000</v>
      </c>
      <c r="E68" s="113">
        <v>4</v>
      </c>
      <c r="F68" s="50" t="s">
        <v>397</v>
      </c>
      <c r="G68" s="6"/>
      <c r="H68" s="11" t="s">
        <v>333</v>
      </c>
    </row>
    <row r="69" spans="1:8" ht="29.25" customHeight="1" x14ac:dyDescent="0.3">
      <c r="A69" s="35"/>
      <c r="B69" s="36" t="s">
        <v>150</v>
      </c>
      <c r="C69" s="49" t="s">
        <v>398</v>
      </c>
      <c r="D69" s="108">
        <v>10970</v>
      </c>
      <c r="E69" s="113">
        <v>4</v>
      </c>
      <c r="F69" s="51" t="s">
        <v>492</v>
      </c>
      <c r="G69" s="6"/>
      <c r="H69" s="11" t="s">
        <v>333</v>
      </c>
    </row>
    <row r="70" spans="1:8" ht="29.25" customHeight="1" x14ac:dyDescent="0.3">
      <c r="A70" s="35"/>
      <c r="B70" s="36" t="s">
        <v>38</v>
      </c>
      <c r="C70" s="49" t="s">
        <v>399</v>
      </c>
      <c r="D70" s="108">
        <v>23920</v>
      </c>
      <c r="E70" s="113">
        <v>4</v>
      </c>
      <c r="F70" s="50" t="s">
        <v>394</v>
      </c>
      <c r="G70" s="7"/>
      <c r="H70" s="11" t="s">
        <v>333</v>
      </c>
    </row>
    <row r="71" spans="1:8" ht="29.25" customHeight="1" x14ac:dyDescent="0.3">
      <c r="A71" s="35"/>
      <c r="B71" s="36" t="s">
        <v>24</v>
      </c>
      <c r="C71" s="49" t="s">
        <v>400</v>
      </c>
      <c r="D71" s="108">
        <v>5700</v>
      </c>
      <c r="E71" s="113">
        <v>4</v>
      </c>
      <c r="F71" s="50" t="s">
        <v>401</v>
      </c>
      <c r="G71" s="6"/>
      <c r="H71" s="11" t="s">
        <v>333</v>
      </c>
    </row>
    <row r="72" spans="1:8" ht="29.25" customHeight="1" x14ac:dyDescent="0.3">
      <c r="A72" s="35"/>
      <c r="B72" s="36" t="s">
        <v>24</v>
      </c>
      <c r="C72" s="49" t="s">
        <v>402</v>
      </c>
      <c r="D72" s="108">
        <v>9440</v>
      </c>
      <c r="E72" s="113">
        <v>4</v>
      </c>
      <c r="F72" s="50" t="s">
        <v>401</v>
      </c>
      <c r="G72" s="6"/>
      <c r="H72" s="11" t="s">
        <v>333</v>
      </c>
    </row>
    <row r="73" spans="1:8" ht="29.25" customHeight="1" x14ac:dyDescent="0.3">
      <c r="A73" s="35"/>
      <c r="B73" s="36" t="s">
        <v>150</v>
      </c>
      <c r="C73" s="49" t="s">
        <v>403</v>
      </c>
      <c r="D73" s="108">
        <v>12640</v>
      </c>
      <c r="E73" s="113">
        <v>4</v>
      </c>
      <c r="F73" s="50" t="s">
        <v>404</v>
      </c>
      <c r="G73" s="6"/>
      <c r="H73" s="11" t="s">
        <v>333</v>
      </c>
    </row>
    <row r="74" spans="1:8" ht="29.25" customHeight="1" x14ac:dyDescent="0.3">
      <c r="A74" s="35" t="s">
        <v>11</v>
      </c>
      <c r="B74" s="36" t="s">
        <v>24</v>
      </c>
      <c r="C74" s="49" t="s">
        <v>405</v>
      </c>
      <c r="D74" s="108">
        <v>6320</v>
      </c>
      <c r="E74" s="113" t="s">
        <v>406</v>
      </c>
      <c r="F74" s="51" t="s">
        <v>493</v>
      </c>
      <c r="G74" s="6"/>
      <c r="H74" s="11" t="s">
        <v>333</v>
      </c>
    </row>
    <row r="75" spans="1:8" ht="29.25" customHeight="1" x14ac:dyDescent="0.3">
      <c r="A75" s="35" t="s">
        <v>11</v>
      </c>
      <c r="B75" s="36" t="s">
        <v>42</v>
      </c>
      <c r="C75" s="49" t="s">
        <v>407</v>
      </c>
      <c r="D75" s="108">
        <v>5800</v>
      </c>
      <c r="E75" s="113">
        <v>4</v>
      </c>
      <c r="F75" s="50" t="s">
        <v>389</v>
      </c>
      <c r="G75" s="6"/>
      <c r="H75" s="11" t="s">
        <v>333</v>
      </c>
    </row>
    <row r="76" spans="1:8" ht="29.25" customHeight="1" x14ac:dyDescent="0.3">
      <c r="A76" s="35"/>
      <c r="B76" s="36" t="s">
        <v>408</v>
      </c>
      <c r="C76" s="49" t="s">
        <v>409</v>
      </c>
      <c r="D76" s="108">
        <v>14250</v>
      </c>
      <c r="E76" s="113">
        <v>4</v>
      </c>
      <c r="F76" s="50" t="s">
        <v>394</v>
      </c>
      <c r="G76" s="6"/>
      <c r="H76" s="11" t="s">
        <v>333</v>
      </c>
    </row>
    <row r="77" spans="1:8" ht="29.25" customHeight="1" x14ac:dyDescent="0.3">
      <c r="A77" s="35"/>
      <c r="B77" s="36" t="s">
        <v>27</v>
      </c>
      <c r="C77" s="49" t="s">
        <v>410</v>
      </c>
      <c r="D77" s="108">
        <v>45500</v>
      </c>
      <c r="E77" s="113" t="s">
        <v>411</v>
      </c>
      <c r="F77" s="50" t="s">
        <v>412</v>
      </c>
      <c r="G77" s="6"/>
      <c r="H77" s="11" t="s">
        <v>333</v>
      </c>
    </row>
    <row r="78" spans="1:8" ht="29.25" customHeight="1" x14ac:dyDescent="0.3">
      <c r="A78" s="35"/>
      <c r="B78" s="36" t="s">
        <v>38</v>
      </c>
      <c r="C78" s="49" t="s">
        <v>413</v>
      </c>
      <c r="D78" s="108">
        <v>9360</v>
      </c>
      <c r="E78" s="113">
        <v>4</v>
      </c>
      <c r="F78" s="50" t="s">
        <v>414</v>
      </c>
      <c r="G78" s="6"/>
      <c r="H78" s="11" t="s">
        <v>333</v>
      </c>
    </row>
    <row r="79" spans="1:8" ht="29.25" customHeight="1" x14ac:dyDescent="0.3">
      <c r="A79" s="35" t="s">
        <v>11</v>
      </c>
      <c r="B79" s="36" t="s">
        <v>27</v>
      </c>
      <c r="C79" s="49" t="s">
        <v>415</v>
      </c>
      <c r="D79" s="108">
        <v>8910</v>
      </c>
      <c r="E79" s="113">
        <v>4</v>
      </c>
      <c r="F79" s="50" t="s">
        <v>416</v>
      </c>
      <c r="G79" s="6"/>
      <c r="H79" s="11" t="s">
        <v>333</v>
      </c>
    </row>
    <row r="80" spans="1:8" ht="29.25" customHeight="1" x14ac:dyDescent="0.3">
      <c r="A80" s="35" t="s">
        <v>11</v>
      </c>
      <c r="B80" s="36" t="s">
        <v>115</v>
      </c>
      <c r="C80" s="49" t="s">
        <v>417</v>
      </c>
      <c r="D80" s="108">
        <v>13990</v>
      </c>
      <c r="E80" s="113">
        <v>4</v>
      </c>
      <c r="F80" s="50" t="s">
        <v>416</v>
      </c>
      <c r="G80" s="6"/>
      <c r="H80" s="11" t="s">
        <v>333</v>
      </c>
    </row>
    <row r="81" spans="1:8" ht="29.25" customHeight="1" x14ac:dyDescent="0.3">
      <c r="A81" s="70" t="s">
        <v>11</v>
      </c>
      <c r="B81" s="25" t="s">
        <v>39</v>
      </c>
      <c r="C81" s="24" t="s">
        <v>418</v>
      </c>
      <c r="D81" s="109">
        <v>8200</v>
      </c>
      <c r="E81" s="114">
        <v>4</v>
      </c>
      <c r="F81" s="77" t="s">
        <v>416</v>
      </c>
      <c r="G81" s="6"/>
      <c r="H81" s="11" t="s">
        <v>333</v>
      </c>
    </row>
    <row r="82" spans="1:8" ht="30.6" customHeight="1" x14ac:dyDescent="0.3">
      <c r="A82" s="64" t="s">
        <v>11</v>
      </c>
      <c r="B82" s="65" t="s">
        <v>27</v>
      </c>
      <c r="C82" s="66" t="s">
        <v>419</v>
      </c>
      <c r="D82" s="110">
        <v>2300</v>
      </c>
      <c r="E82" s="112">
        <v>4</v>
      </c>
      <c r="F82" s="76" t="s">
        <v>416</v>
      </c>
      <c r="G82" s="6"/>
      <c r="H82" s="11" t="s">
        <v>333</v>
      </c>
    </row>
    <row r="83" spans="1:8" ht="30.6" customHeight="1" x14ac:dyDescent="0.3">
      <c r="A83" s="35"/>
      <c r="B83" s="36" t="s">
        <v>41</v>
      </c>
      <c r="C83" s="49" t="s">
        <v>420</v>
      </c>
      <c r="D83" s="108">
        <v>16740</v>
      </c>
      <c r="E83" s="113">
        <v>4</v>
      </c>
      <c r="F83" s="50" t="s">
        <v>421</v>
      </c>
      <c r="G83" s="6"/>
      <c r="H83" s="11" t="s">
        <v>333</v>
      </c>
    </row>
    <row r="84" spans="1:8" ht="30.6" customHeight="1" x14ac:dyDescent="0.3">
      <c r="A84" s="35"/>
      <c r="B84" s="36" t="s">
        <v>38</v>
      </c>
      <c r="C84" s="49" t="s">
        <v>422</v>
      </c>
      <c r="D84" s="108">
        <v>1085</v>
      </c>
      <c r="E84" s="113">
        <v>4</v>
      </c>
      <c r="F84" s="50" t="s">
        <v>423</v>
      </c>
      <c r="G84" s="2"/>
      <c r="H84" s="11" t="s">
        <v>334</v>
      </c>
    </row>
    <row r="85" spans="1:8" ht="30.6" customHeight="1" x14ac:dyDescent="0.3">
      <c r="A85" s="35" t="s">
        <v>11</v>
      </c>
      <c r="B85" s="36" t="s">
        <v>40</v>
      </c>
      <c r="C85" s="49" t="s">
        <v>424</v>
      </c>
      <c r="D85" s="108">
        <v>10800</v>
      </c>
      <c r="E85" s="113">
        <v>4</v>
      </c>
      <c r="F85" s="50" t="s">
        <v>425</v>
      </c>
      <c r="G85" s="4"/>
      <c r="H85" s="11" t="s">
        <v>334</v>
      </c>
    </row>
    <row r="86" spans="1:8" ht="30.6" customHeight="1" x14ac:dyDescent="0.3">
      <c r="A86" s="35" t="s">
        <v>11</v>
      </c>
      <c r="B86" s="36" t="s">
        <v>27</v>
      </c>
      <c r="C86" s="49" t="s">
        <v>426</v>
      </c>
      <c r="D86" s="108">
        <v>11230</v>
      </c>
      <c r="E86" s="113">
        <v>4</v>
      </c>
      <c r="F86" s="50" t="s">
        <v>427</v>
      </c>
      <c r="G86" s="4"/>
      <c r="H86" s="11" t="s">
        <v>334</v>
      </c>
    </row>
    <row r="87" spans="1:8" ht="30.6" customHeight="1" x14ac:dyDescent="0.3">
      <c r="A87" s="35"/>
      <c r="B87" s="36" t="s">
        <v>41</v>
      </c>
      <c r="C87" s="49" t="s">
        <v>428</v>
      </c>
      <c r="D87" s="108">
        <v>1900</v>
      </c>
      <c r="E87" s="113">
        <v>4</v>
      </c>
      <c r="F87" s="50" t="s">
        <v>429</v>
      </c>
      <c r="G87" s="2"/>
      <c r="H87" s="11" t="s">
        <v>334</v>
      </c>
    </row>
    <row r="88" spans="1:8" ht="30.6" customHeight="1" x14ac:dyDescent="0.3">
      <c r="A88" s="35"/>
      <c r="B88" s="36" t="s">
        <v>14</v>
      </c>
      <c r="C88" s="53" t="s">
        <v>303</v>
      </c>
      <c r="D88" s="38">
        <v>24280</v>
      </c>
      <c r="E88" s="39">
        <v>4</v>
      </c>
      <c r="F88" s="40" t="s">
        <v>51</v>
      </c>
      <c r="G88" s="2"/>
      <c r="H88" s="11" t="s">
        <v>334</v>
      </c>
    </row>
    <row r="89" spans="1:8" ht="30.6" customHeight="1" x14ac:dyDescent="0.3">
      <c r="A89" s="35" t="s">
        <v>11</v>
      </c>
      <c r="B89" s="36" t="s">
        <v>14</v>
      </c>
      <c r="C89" s="53" t="s">
        <v>304</v>
      </c>
      <c r="D89" s="38">
        <v>18400</v>
      </c>
      <c r="E89" s="39">
        <v>4</v>
      </c>
      <c r="F89" s="46" t="s">
        <v>51</v>
      </c>
      <c r="G89" s="2"/>
      <c r="H89" s="11" t="s">
        <v>334</v>
      </c>
    </row>
    <row r="90" spans="1:8" ht="30.6" customHeight="1" x14ac:dyDescent="0.3">
      <c r="A90" s="35"/>
      <c r="B90" s="36" t="s">
        <v>14</v>
      </c>
      <c r="C90" s="49" t="s">
        <v>305</v>
      </c>
      <c r="D90" s="38">
        <v>9300</v>
      </c>
      <c r="E90" s="39">
        <v>4</v>
      </c>
      <c r="F90" s="46" t="s">
        <v>494</v>
      </c>
      <c r="G90" s="2"/>
      <c r="H90" s="11" t="s">
        <v>334</v>
      </c>
    </row>
    <row r="91" spans="1:8" ht="30.6" customHeight="1" x14ac:dyDescent="0.3">
      <c r="A91" s="35"/>
      <c r="B91" s="36" t="s">
        <v>4</v>
      </c>
      <c r="C91" s="49" t="s">
        <v>5</v>
      </c>
      <c r="D91" s="38">
        <v>19090</v>
      </c>
      <c r="E91" s="39">
        <v>4</v>
      </c>
      <c r="F91" s="40" t="s">
        <v>151</v>
      </c>
      <c r="G91" s="2"/>
      <c r="H91" s="11" t="s">
        <v>334</v>
      </c>
    </row>
    <row r="92" spans="1:8" ht="30.6" customHeight="1" x14ac:dyDescent="0.3">
      <c r="A92" s="35"/>
      <c r="B92" s="36" t="s">
        <v>31</v>
      </c>
      <c r="C92" s="49" t="s">
        <v>306</v>
      </c>
      <c r="D92" s="38">
        <v>6050</v>
      </c>
      <c r="E92" s="39">
        <v>4</v>
      </c>
      <c r="F92" s="40" t="s">
        <v>60</v>
      </c>
      <c r="G92" s="2"/>
      <c r="H92" s="11" t="s">
        <v>334</v>
      </c>
    </row>
    <row r="93" spans="1:8" ht="30.6" customHeight="1" x14ac:dyDescent="0.3">
      <c r="A93" s="35"/>
      <c r="B93" s="36" t="s">
        <v>62</v>
      </c>
      <c r="C93" s="49" t="s">
        <v>307</v>
      </c>
      <c r="D93" s="38">
        <v>21860</v>
      </c>
      <c r="E93" s="39" t="s">
        <v>37</v>
      </c>
      <c r="F93" s="40" t="s">
        <v>152</v>
      </c>
      <c r="G93" s="2"/>
      <c r="H93" s="11" t="s">
        <v>334</v>
      </c>
    </row>
    <row r="94" spans="1:8" ht="30.6" customHeight="1" x14ac:dyDescent="0.3">
      <c r="A94" s="35" t="s">
        <v>11</v>
      </c>
      <c r="B94" s="36" t="s">
        <v>1</v>
      </c>
      <c r="C94" s="49" t="s">
        <v>308</v>
      </c>
      <c r="D94" s="38">
        <v>25720</v>
      </c>
      <c r="E94" s="39">
        <v>4</v>
      </c>
      <c r="F94" s="40" t="s">
        <v>54</v>
      </c>
      <c r="G94" s="2"/>
      <c r="H94" s="11" t="s">
        <v>334</v>
      </c>
    </row>
    <row r="95" spans="1:8" ht="30.6" customHeight="1" x14ac:dyDescent="0.3">
      <c r="A95" s="35"/>
      <c r="B95" s="36" t="s">
        <v>1</v>
      </c>
      <c r="C95" s="49" t="s">
        <v>2</v>
      </c>
      <c r="D95" s="38">
        <v>10460</v>
      </c>
      <c r="E95" s="39">
        <v>4</v>
      </c>
      <c r="F95" s="40" t="s">
        <v>151</v>
      </c>
      <c r="G95" s="2"/>
      <c r="H95" s="11" t="s">
        <v>334</v>
      </c>
    </row>
    <row r="96" spans="1:8" ht="30.6" customHeight="1" x14ac:dyDescent="0.3">
      <c r="A96" s="35"/>
      <c r="B96" s="36" t="s">
        <v>153</v>
      </c>
      <c r="C96" s="49" t="s">
        <v>430</v>
      </c>
      <c r="D96" s="38">
        <v>6770</v>
      </c>
      <c r="E96" s="39">
        <v>4</v>
      </c>
      <c r="F96" s="40" t="s">
        <v>154</v>
      </c>
      <c r="G96" s="2"/>
      <c r="H96" s="11" t="s">
        <v>334</v>
      </c>
    </row>
    <row r="97" spans="1:8" ht="30.6" customHeight="1" x14ac:dyDescent="0.3">
      <c r="A97" s="35"/>
      <c r="B97" s="36" t="s">
        <v>153</v>
      </c>
      <c r="C97" s="49" t="s">
        <v>431</v>
      </c>
      <c r="D97" s="38">
        <v>7410</v>
      </c>
      <c r="E97" s="39">
        <v>4</v>
      </c>
      <c r="F97" s="40" t="s">
        <v>154</v>
      </c>
      <c r="G97" s="2"/>
      <c r="H97" s="11" t="s">
        <v>334</v>
      </c>
    </row>
    <row r="98" spans="1:8" ht="30.6" customHeight="1" x14ac:dyDescent="0.3">
      <c r="A98" s="35"/>
      <c r="B98" s="36" t="s">
        <v>153</v>
      </c>
      <c r="C98" s="49" t="s">
        <v>309</v>
      </c>
      <c r="D98" s="38">
        <v>7160</v>
      </c>
      <c r="E98" s="39">
        <v>4</v>
      </c>
      <c r="F98" s="40" t="s">
        <v>154</v>
      </c>
      <c r="G98" s="2"/>
      <c r="H98" s="11" t="s">
        <v>334</v>
      </c>
    </row>
    <row r="99" spans="1:8" ht="30.6" customHeight="1" x14ac:dyDescent="0.3">
      <c r="A99" s="35"/>
      <c r="B99" s="36" t="s">
        <v>153</v>
      </c>
      <c r="C99" s="49" t="s">
        <v>432</v>
      </c>
      <c r="D99" s="38">
        <v>11860</v>
      </c>
      <c r="E99" s="39">
        <v>4</v>
      </c>
      <c r="F99" s="40" t="s">
        <v>154</v>
      </c>
      <c r="G99" s="2"/>
      <c r="H99" s="11" t="s">
        <v>334</v>
      </c>
    </row>
    <row r="100" spans="1:8" ht="30.6" customHeight="1" x14ac:dyDescent="0.3">
      <c r="A100" s="35"/>
      <c r="B100" s="36" t="s">
        <v>46</v>
      </c>
      <c r="C100" s="49" t="s">
        <v>433</v>
      </c>
      <c r="D100" s="38">
        <v>7290</v>
      </c>
      <c r="E100" s="39">
        <v>4</v>
      </c>
      <c r="F100" s="40" t="s">
        <v>154</v>
      </c>
      <c r="G100" s="2"/>
      <c r="H100" s="11" t="s">
        <v>334</v>
      </c>
    </row>
    <row r="101" spans="1:8" ht="30.6" customHeight="1" x14ac:dyDescent="0.3">
      <c r="A101" s="35"/>
      <c r="B101" s="36" t="s">
        <v>1</v>
      </c>
      <c r="C101" s="49" t="s">
        <v>434</v>
      </c>
      <c r="D101" s="38">
        <v>7000</v>
      </c>
      <c r="E101" s="39">
        <v>4</v>
      </c>
      <c r="F101" s="40" t="s">
        <v>154</v>
      </c>
      <c r="G101" s="2"/>
      <c r="H101" s="11" t="s">
        <v>334</v>
      </c>
    </row>
    <row r="102" spans="1:8" ht="30.6" customHeight="1" x14ac:dyDescent="0.3">
      <c r="A102" s="35"/>
      <c r="B102" s="36" t="s">
        <v>1</v>
      </c>
      <c r="C102" s="49" t="s">
        <v>435</v>
      </c>
      <c r="D102" s="38">
        <v>6320</v>
      </c>
      <c r="E102" s="39">
        <v>4</v>
      </c>
      <c r="F102" s="40" t="s">
        <v>154</v>
      </c>
      <c r="G102" s="2"/>
      <c r="H102" s="11" t="s">
        <v>334</v>
      </c>
    </row>
    <row r="103" spans="1:8" ht="30.6" customHeight="1" x14ac:dyDescent="0.3">
      <c r="A103" s="35"/>
      <c r="B103" s="36" t="s">
        <v>14</v>
      </c>
      <c r="C103" s="49" t="s">
        <v>436</v>
      </c>
      <c r="D103" s="38">
        <v>6850</v>
      </c>
      <c r="E103" s="39">
        <v>4</v>
      </c>
      <c r="F103" s="40" t="s">
        <v>437</v>
      </c>
      <c r="G103" s="2"/>
      <c r="H103" s="11" t="s">
        <v>334</v>
      </c>
    </row>
    <row r="104" spans="1:8" ht="30.6" customHeight="1" x14ac:dyDescent="0.3">
      <c r="A104" s="35"/>
      <c r="B104" s="36" t="s">
        <v>48</v>
      </c>
      <c r="C104" s="53" t="s">
        <v>310</v>
      </c>
      <c r="D104" s="38">
        <v>10000</v>
      </c>
      <c r="E104" s="39">
        <v>4</v>
      </c>
      <c r="F104" s="40" t="s">
        <v>23</v>
      </c>
      <c r="G104" s="2"/>
      <c r="H104" s="11" t="s">
        <v>334</v>
      </c>
    </row>
    <row r="105" spans="1:8" ht="30.6" customHeight="1" x14ac:dyDescent="0.3">
      <c r="A105" s="70"/>
      <c r="B105" s="25" t="s">
        <v>14</v>
      </c>
      <c r="C105" s="74" t="s">
        <v>438</v>
      </c>
      <c r="D105" s="63">
        <v>8700</v>
      </c>
      <c r="E105" s="80">
        <v>4</v>
      </c>
      <c r="F105" s="81" t="s">
        <v>51</v>
      </c>
      <c r="G105" s="2"/>
      <c r="H105" s="11" t="s">
        <v>334</v>
      </c>
    </row>
    <row r="106" spans="1:8" ht="30.6" customHeight="1" x14ac:dyDescent="0.3">
      <c r="A106" s="64" t="s">
        <v>11</v>
      </c>
      <c r="B106" s="65" t="s">
        <v>43</v>
      </c>
      <c r="C106" s="78" t="s">
        <v>311</v>
      </c>
      <c r="D106" s="67">
        <v>3970</v>
      </c>
      <c r="E106" s="68">
        <v>4</v>
      </c>
      <c r="F106" s="79" t="s">
        <v>44</v>
      </c>
      <c r="G106" s="2"/>
      <c r="H106" s="11" t="s">
        <v>334</v>
      </c>
    </row>
    <row r="107" spans="1:8" ht="30.6" customHeight="1" x14ac:dyDescent="0.3">
      <c r="A107" s="35"/>
      <c r="B107" s="36" t="s">
        <v>48</v>
      </c>
      <c r="C107" s="53" t="s">
        <v>439</v>
      </c>
      <c r="D107" s="38">
        <v>10600</v>
      </c>
      <c r="E107" s="39">
        <v>4</v>
      </c>
      <c r="F107" s="40" t="s">
        <v>57</v>
      </c>
      <c r="G107" s="2"/>
      <c r="H107" s="11" t="s">
        <v>334</v>
      </c>
    </row>
    <row r="108" spans="1:8" ht="30.6" customHeight="1" x14ac:dyDescent="0.3">
      <c r="A108" s="35"/>
      <c r="B108" s="36" t="s">
        <v>43</v>
      </c>
      <c r="C108" s="49" t="s">
        <v>312</v>
      </c>
      <c r="D108" s="38">
        <v>1810</v>
      </c>
      <c r="E108" s="39">
        <v>4</v>
      </c>
      <c r="F108" s="40" t="s">
        <v>45</v>
      </c>
      <c r="G108" s="2"/>
      <c r="H108" s="11" t="s">
        <v>334</v>
      </c>
    </row>
    <row r="109" spans="1:8" ht="30.6" customHeight="1" x14ac:dyDescent="0.3">
      <c r="A109" s="35" t="s">
        <v>11</v>
      </c>
      <c r="B109" s="36" t="s">
        <v>43</v>
      </c>
      <c r="C109" s="53" t="s">
        <v>313</v>
      </c>
      <c r="D109" s="38">
        <v>5440</v>
      </c>
      <c r="E109" s="39">
        <v>4</v>
      </c>
      <c r="F109" s="40" t="s">
        <v>49</v>
      </c>
      <c r="G109" s="2"/>
      <c r="H109" s="11" t="s">
        <v>334</v>
      </c>
    </row>
    <row r="110" spans="1:8" ht="30.6" customHeight="1" x14ac:dyDescent="0.3">
      <c r="A110" s="35" t="s">
        <v>11</v>
      </c>
      <c r="B110" s="36" t="s">
        <v>52</v>
      </c>
      <c r="C110" s="49" t="s">
        <v>314</v>
      </c>
      <c r="D110" s="38">
        <v>22840</v>
      </c>
      <c r="E110" s="39">
        <v>4</v>
      </c>
      <c r="F110" s="40" t="s">
        <v>53</v>
      </c>
      <c r="G110" s="2"/>
      <c r="H110" s="11" t="s">
        <v>334</v>
      </c>
    </row>
    <row r="111" spans="1:8" ht="30.6" customHeight="1" x14ac:dyDescent="0.3">
      <c r="A111" s="35" t="s">
        <v>11</v>
      </c>
      <c r="B111" s="36" t="s">
        <v>46</v>
      </c>
      <c r="C111" s="53" t="s">
        <v>315</v>
      </c>
      <c r="D111" s="38">
        <v>19000</v>
      </c>
      <c r="E111" s="39">
        <v>4</v>
      </c>
      <c r="F111" s="40" t="s">
        <v>155</v>
      </c>
      <c r="G111" s="2"/>
      <c r="H111" s="11" t="s">
        <v>334</v>
      </c>
    </row>
    <row r="112" spans="1:8" ht="30.6" customHeight="1" x14ac:dyDescent="0.3">
      <c r="A112" s="35" t="s">
        <v>11</v>
      </c>
      <c r="B112" s="36" t="s">
        <v>46</v>
      </c>
      <c r="C112" s="41" t="s">
        <v>495</v>
      </c>
      <c r="D112" s="38">
        <v>0</v>
      </c>
      <c r="E112" s="39">
        <v>4</v>
      </c>
      <c r="F112" s="40" t="s">
        <v>440</v>
      </c>
      <c r="G112" s="2"/>
      <c r="H112" s="11" t="s">
        <v>334</v>
      </c>
    </row>
    <row r="113" spans="1:8" ht="30.6" customHeight="1" x14ac:dyDescent="0.3">
      <c r="A113" s="35" t="s">
        <v>11</v>
      </c>
      <c r="B113" s="36" t="s">
        <v>46</v>
      </c>
      <c r="C113" s="41" t="s">
        <v>496</v>
      </c>
      <c r="D113" s="38">
        <v>8140</v>
      </c>
      <c r="E113" s="39">
        <v>4</v>
      </c>
      <c r="F113" s="40" t="s">
        <v>156</v>
      </c>
      <c r="G113" s="2"/>
      <c r="H113" s="11" t="s">
        <v>334</v>
      </c>
    </row>
    <row r="114" spans="1:8" ht="30.6" customHeight="1" x14ac:dyDescent="0.3">
      <c r="A114" s="35"/>
      <c r="B114" s="36" t="s">
        <v>3</v>
      </c>
      <c r="C114" s="37" t="s">
        <v>316</v>
      </c>
      <c r="D114" s="38">
        <v>4000</v>
      </c>
      <c r="E114" s="39">
        <v>4</v>
      </c>
      <c r="F114" s="40" t="s">
        <v>157</v>
      </c>
      <c r="G114" s="2"/>
      <c r="H114" s="11" t="s">
        <v>334</v>
      </c>
    </row>
    <row r="115" spans="1:8" ht="30.6" customHeight="1" x14ac:dyDescent="0.3">
      <c r="A115" s="35"/>
      <c r="B115" s="36" t="s">
        <v>3</v>
      </c>
      <c r="C115" s="41" t="s">
        <v>317</v>
      </c>
      <c r="D115" s="38">
        <v>8663</v>
      </c>
      <c r="E115" s="39">
        <v>4</v>
      </c>
      <c r="F115" s="40" t="s">
        <v>158</v>
      </c>
      <c r="G115" s="2"/>
      <c r="H115" s="11" t="s">
        <v>334</v>
      </c>
    </row>
    <row r="116" spans="1:8" ht="30.6" customHeight="1" x14ac:dyDescent="0.3">
      <c r="A116" s="35" t="s">
        <v>11</v>
      </c>
      <c r="B116" s="36" t="s">
        <v>42</v>
      </c>
      <c r="C116" s="41" t="s">
        <v>318</v>
      </c>
      <c r="D116" s="38">
        <v>8590</v>
      </c>
      <c r="E116" s="39">
        <v>4</v>
      </c>
      <c r="F116" s="40" t="s">
        <v>159</v>
      </c>
      <c r="G116" s="2"/>
      <c r="H116" s="11" t="s">
        <v>334</v>
      </c>
    </row>
    <row r="117" spans="1:8" ht="30.6" customHeight="1" x14ac:dyDescent="0.3">
      <c r="A117" s="35"/>
      <c r="B117" s="36" t="s">
        <v>4</v>
      </c>
      <c r="C117" s="41" t="s">
        <v>497</v>
      </c>
      <c r="D117" s="38">
        <v>6500</v>
      </c>
      <c r="E117" s="39">
        <v>4</v>
      </c>
      <c r="F117" s="40" t="s">
        <v>160</v>
      </c>
      <c r="G117" s="2"/>
      <c r="H117" s="11" t="s">
        <v>334</v>
      </c>
    </row>
    <row r="118" spans="1:8" ht="30.6" customHeight="1" x14ac:dyDescent="0.3">
      <c r="A118" s="35" t="s">
        <v>11</v>
      </c>
      <c r="B118" s="36" t="s">
        <v>161</v>
      </c>
      <c r="C118" s="41" t="s">
        <v>162</v>
      </c>
      <c r="D118" s="38">
        <v>2908</v>
      </c>
      <c r="E118" s="39">
        <v>4</v>
      </c>
      <c r="F118" s="40" t="s">
        <v>163</v>
      </c>
      <c r="G118" s="2"/>
      <c r="H118" s="11" t="s">
        <v>334</v>
      </c>
    </row>
    <row r="119" spans="1:8" ht="30.6" customHeight="1" x14ac:dyDescent="0.3">
      <c r="A119" s="35"/>
      <c r="B119" s="36" t="s">
        <v>3</v>
      </c>
      <c r="C119" s="41" t="s">
        <v>498</v>
      </c>
      <c r="D119" s="38">
        <v>17800</v>
      </c>
      <c r="E119" s="39">
        <v>4</v>
      </c>
      <c r="F119" s="40" t="s">
        <v>155</v>
      </c>
      <c r="G119" s="2"/>
      <c r="H119" s="11" t="s">
        <v>334</v>
      </c>
    </row>
    <row r="120" spans="1:8" ht="30.6" customHeight="1" x14ac:dyDescent="0.3">
      <c r="A120" s="35"/>
      <c r="B120" s="36" t="s">
        <v>42</v>
      </c>
      <c r="C120" s="41" t="s">
        <v>164</v>
      </c>
      <c r="D120" s="38">
        <v>8450</v>
      </c>
      <c r="E120" s="39">
        <v>4</v>
      </c>
      <c r="F120" s="40" t="s">
        <v>165</v>
      </c>
      <c r="G120" s="2"/>
      <c r="H120" s="11" t="s">
        <v>334</v>
      </c>
    </row>
    <row r="121" spans="1:8" ht="30.6" customHeight="1" x14ac:dyDescent="0.3">
      <c r="A121" s="35"/>
      <c r="B121" s="36" t="s">
        <v>29</v>
      </c>
      <c r="C121" s="41" t="s">
        <v>499</v>
      </c>
      <c r="D121" s="38">
        <v>5000</v>
      </c>
      <c r="E121" s="39">
        <v>4</v>
      </c>
      <c r="F121" s="40" t="s">
        <v>166</v>
      </c>
      <c r="G121" s="2"/>
      <c r="H121" s="11" t="s">
        <v>334</v>
      </c>
    </row>
    <row r="122" spans="1:8" ht="30.6" customHeight="1" x14ac:dyDescent="0.3">
      <c r="A122" s="35"/>
      <c r="B122" s="36" t="s">
        <v>167</v>
      </c>
      <c r="C122" s="41" t="s">
        <v>500</v>
      </c>
      <c r="D122" s="38">
        <v>5850</v>
      </c>
      <c r="E122" s="39">
        <v>4</v>
      </c>
      <c r="F122" s="40" t="s">
        <v>168</v>
      </c>
      <c r="G122" s="2"/>
      <c r="H122" s="11" t="s">
        <v>334</v>
      </c>
    </row>
    <row r="123" spans="1:8" ht="30.6" customHeight="1" x14ac:dyDescent="0.3">
      <c r="A123" s="35"/>
      <c r="B123" s="36" t="s">
        <v>46</v>
      </c>
      <c r="C123" s="41" t="s">
        <v>319</v>
      </c>
      <c r="D123" s="38">
        <v>11020</v>
      </c>
      <c r="E123" s="39">
        <v>4</v>
      </c>
      <c r="F123" s="40" t="s">
        <v>49</v>
      </c>
      <c r="G123" s="2"/>
      <c r="H123" s="11" t="s">
        <v>334</v>
      </c>
    </row>
    <row r="124" spans="1:8" ht="30.6" customHeight="1" x14ac:dyDescent="0.3">
      <c r="A124" s="35" t="s">
        <v>11</v>
      </c>
      <c r="B124" s="36" t="s">
        <v>117</v>
      </c>
      <c r="C124" s="37" t="s">
        <v>320</v>
      </c>
      <c r="D124" s="38">
        <v>9640</v>
      </c>
      <c r="E124" s="39">
        <v>4</v>
      </c>
      <c r="F124" s="40" t="s">
        <v>50</v>
      </c>
      <c r="G124" s="2"/>
      <c r="H124" s="11" t="s">
        <v>334</v>
      </c>
    </row>
    <row r="125" spans="1:8" ht="30.6" customHeight="1" x14ac:dyDescent="0.3">
      <c r="A125" s="35" t="s">
        <v>11</v>
      </c>
      <c r="B125" s="36" t="s">
        <v>169</v>
      </c>
      <c r="C125" s="37" t="s">
        <v>321</v>
      </c>
      <c r="D125" s="38">
        <v>7000</v>
      </c>
      <c r="E125" s="39">
        <v>4</v>
      </c>
      <c r="F125" s="40" t="s">
        <v>322</v>
      </c>
      <c r="G125" s="2"/>
      <c r="H125" s="11" t="s">
        <v>334</v>
      </c>
    </row>
    <row r="126" spans="1:8" ht="30.6" customHeight="1" x14ac:dyDescent="0.3">
      <c r="A126" s="35"/>
      <c r="B126" s="36" t="s">
        <v>47</v>
      </c>
      <c r="C126" s="37" t="s">
        <v>323</v>
      </c>
      <c r="D126" s="38">
        <v>32900</v>
      </c>
      <c r="E126" s="39" t="s">
        <v>324</v>
      </c>
      <c r="F126" s="40" t="s">
        <v>23</v>
      </c>
      <c r="G126" s="2"/>
      <c r="H126" s="11" t="s">
        <v>362</v>
      </c>
    </row>
    <row r="127" spans="1:8" ht="30.6" customHeight="1" x14ac:dyDescent="0.3">
      <c r="A127" s="35"/>
      <c r="B127" s="36" t="s">
        <v>4</v>
      </c>
      <c r="C127" s="37" t="s">
        <v>325</v>
      </c>
      <c r="D127" s="38">
        <v>19160</v>
      </c>
      <c r="E127" s="39" t="s">
        <v>19</v>
      </c>
      <c r="F127" s="40" t="s">
        <v>23</v>
      </c>
      <c r="G127" s="2"/>
      <c r="H127" s="11" t="s">
        <v>335</v>
      </c>
    </row>
    <row r="128" spans="1:8" ht="30.6" customHeight="1" x14ac:dyDescent="0.3">
      <c r="A128" s="35"/>
      <c r="B128" s="36" t="s">
        <v>4</v>
      </c>
      <c r="C128" s="115" t="s">
        <v>326</v>
      </c>
      <c r="D128" s="38">
        <v>9580</v>
      </c>
      <c r="E128" s="39">
        <v>4</v>
      </c>
      <c r="F128" s="40" t="s">
        <v>50</v>
      </c>
      <c r="G128" s="2"/>
      <c r="H128" s="11" t="s">
        <v>354</v>
      </c>
    </row>
    <row r="129" spans="1:8" ht="30.6" customHeight="1" x14ac:dyDescent="0.3">
      <c r="A129" s="70"/>
      <c r="B129" s="25" t="s">
        <v>1</v>
      </c>
      <c r="C129" s="118" t="s">
        <v>327</v>
      </c>
      <c r="D129" s="63">
        <v>10640</v>
      </c>
      <c r="E129" s="80">
        <v>4</v>
      </c>
      <c r="F129" s="81" t="s">
        <v>23</v>
      </c>
      <c r="G129" s="2"/>
    </row>
    <row r="130" spans="1:8" ht="30.6" customHeight="1" x14ac:dyDescent="0.3">
      <c r="A130" s="64"/>
      <c r="B130" s="65" t="s">
        <v>116</v>
      </c>
      <c r="C130" s="119" t="s">
        <v>328</v>
      </c>
      <c r="D130" s="67">
        <v>22840</v>
      </c>
      <c r="E130" s="68">
        <v>4</v>
      </c>
      <c r="F130" s="79" t="s">
        <v>23</v>
      </c>
      <c r="G130" s="4"/>
      <c r="H130" s="11" t="s">
        <v>336</v>
      </c>
    </row>
    <row r="131" spans="1:8" ht="30.6" customHeight="1" x14ac:dyDescent="0.3">
      <c r="A131" s="35"/>
      <c r="B131" s="36" t="s">
        <v>4</v>
      </c>
      <c r="C131" s="115" t="s">
        <v>441</v>
      </c>
      <c r="D131" s="38">
        <v>7680</v>
      </c>
      <c r="E131" s="47">
        <v>4</v>
      </c>
      <c r="F131" s="40" t="s">
        <v>151</v>
      </c>
      <c r="G131" s="2"/>
      <c r="H131" s="11" t="s">
        <v>336</v>
      </c>
    </row>
    <row r="132" spans="1:8" ht="30.6" customHeight="1" x14ac:dyDescent="0.3">
      <c r="A132" s="35"/>
      <c r="B132" s="36" t="s">
        <v>4</v>
      </c>
      <c r="C132" s="115" t="s">
        <v>329</v>
      </c>
      <c r="D132" s="38">
        <v>11000</v>
      </c>
      <c r="E132" s="47">
        <v>4</v>
      </c>
      <c r="F132" s="40" t="s">
        <v>170</v>
      </c>
      <c r="G132" s="2"/>
      <c r="H132" s="11" t="s">
        <v>336</v>
      </c>
    </row>
    <row r="133" spans="1:8" ht="30.6" customHeight="1" x14ac:dyDescent="0.3">
      <c r="A133" s="35"/>
      <c r="B133" s="36" t="s">
        <v>137</v>
      </c>
      <c r="C133" s="115" t="s">
        <v>442</v>
      </c>
      <c r="D133" s="38">
        <v>21810</v>
      </c>
      <c r="E133" s="47" t="s">
        <v>443</v>
      </c>
      <c r="F133" s="40" t="s">
        <v>444</v>
      </c>
      <c r="G133" s="2"/>
    </row>
    <row r="134" spans="1:8" ht="30.6" customHeight="1" x14ac:dyDescent="0.3">
      <c r="A134" s="35" t="s">
        <v>11</v>
      </c>
      <c r="B134" s="36" t="s">
        <v>1</v>
      </c>
      <c r="C134" s="115" t="s">
        <v>445</v>
      </c>
      <c r="D134" s="38">
        <v>6500</v>
      </c>
      <c r="E134" s="47">
        <v>4</v>
      </c>
      <c r="F134" s="40" t="s">
        <v>446</v>
      </c>
      <c r="G134" s="2"/>
    </row>
    <row r="135" spans="1:8" ht="30.6" customHeight="1" x14ac:dyDescent="0.3">
      <c r="A135" s="31" t="s">
        <v>171</v>
      </c>
      <c r="B135" s="128" t="s">
        <v>361</v>
      </c>
      <c r="C135" s="129"/>
      <c r="D135" s="32">
        <f>SUM(D136:D185)</f>
        <v>427801</v>
      </c>
      <c r="E135" s="33"/>
      <c r="F135" s="40"/>
      <c r="G135" s="4"/>
      <c r="H135" s="11" t="s">
        <v>336</v>
      </c>
    </row>
    <row r="136" spans="1:8" ht="30.6" customHeight="1" x14ac:dyDescent="0.3">
      <c r="A136" s="35"/>
      <c r="B136" s="36" t="s">
        <v>67</v>
      </c>
      <c r="C136" s="37" t="s">
        <v>231</v>
      </c>
      <c r="D136" s="105">
        <v>28360</v>
      </c>
      <c r="E136" s="39">
        <v>8</v>
      </c>
      <c r="F136" s="46" t="s">
        <v>501</v>
      </c>
      <c r="G136" s="4"/>
      <c r="H136" s="11" t="s">
        <v>336</v>
      </c>
    </row>
    <row r="137" spans="1:8" ht="30.6" customHeight="1" x14ac:dyDescent="0.3">
      <c r="A137" s="35"/>
      <c r="B137" s="52" t="s">
        <v>531</v>
      </c>
      <c r="C137" s="37" t="s">
        <v>232</v>
      </c>
      <c r="D137" s="105">
        <v>6800</v>
      </c>
      <c r="E137" s="39" t="s">
        <v>448</v>
      </c>
      <c r="F137" s="40" t="s">
        <v>66</v>
      </c>
      <c r="G137" s="4"/>
      <c r="H137" s="11" t="s">
        <v>336</v>
      </c>
    </row>
    <row r="138" spans="1:8" ht="30.6" customHeight="1" x14ac:dyDescent="0.3">
      <c r="A138" s="35"/>
      <c r="B138" s="52" t="s">
        <v>172</v>
      </c>
      <c r="C138" s="37" t="s">
        <v>233</v>
      </c>
      <c r="D138" s="105">
        <v>5500</v>
      </c>
      <c r="E138" s="39">
        <v>4</v>
      </c>
      <c r="F138" s="40" t="s">
        <v>69</v>
      </c>
      <c r="G138" s="2"/>
      <c r="H138" s="11" t="s">
        <v>336</v>
      </c>
    </row>
    <row r="139" spans="1:8" ht="30.6" customHeight="1" x14ac:dyDescent="0.3">
      <c r="A139" s="35"/>
      <c r="B139" s="36" t="s">
        <v>75</v>
      </c>
      <c r="C139" s="37" t="s">
        <v>234</v>
      </c>
      <c r="D139" s="105">
        <v>22000</v>
      </c>
      <c r="E139" s="47" t="s">
        <v>37</v>
      </c>
      <c r="F139" s="46" t="s">
        <v>502</v>
      </c>
      <c r="G139" s="2"/>
      <c r="H139" s="11" t="s">
        <v>336</v>
      </c>
    </row>
    <row r="140" spans="1:8" ht="30.6" customHeight="1" x14ac:dyDescent="0.3">
      <c r="A140" s="31"/>
      <c r="B140" s="36" t="s">
        <v>73</v>
      </c>
      <c r="C140" s="37" t="s">
        <v>235</v>
      </c>
      <c r="D140" s="105">
        <v>29610</v>
      </c>
      <c r="E140" s="39" t="s">
        <v>37</v>
      </c>
      <c r="F140" s="46" t="s">
        <v>503</v>
      </c>
      <c r="G140" s="2"/>
      <c r="H140" s="11" t="s">
        <v>336</v>
      </c>
    </row>
    <row r="141" spans="1:8" ht="30.6" customHeight="1" x14ac:dyDescent="0.3">
      <c r="A141" s="35"/>
      <c r="B141" s="36" t="s">
        <v>76</v>
      </c>
      <c r="C141" s="37" t="s">
        <v>236</v>
      </c>
      <c r="D141" s="105">
        <v>8300</v>
      </c>
      <c r="E141" s="39" t="s">
        <v>19</v>
      </c>
      <c r="F141" s="46" t="s">
        <v>504</v>
      </c>
      <c r="G141" s="2"/>
      <c r="H141" s="11" t="s">
        <v>336</v>
      </c>
    </row>
    <row r="142" spans="1:8" ht="30.6" customHeight="1" x14ac:dyDescent="0.3">
      <c r="A142" s="35"/>
      <c r="B142" s="36" t="s">
        <v>72</v>
      </c>
      <c r="C142" s="37" t="s">
        <v>449</v>
      </c>
      <c r="D142" s="105">
        <v>2400</v>
      </c>
      <c r="E142" s="39" t="s">
        <v>19</v>
      </c>
      <c r="F142" s="46" t="s">
        <v>505</v>
      </c>
      <c r="G142" s="2"/>
      <c r="H142" s="11" t="s">
        <v>336</v>
      </c>
    </row>
    <row r="143" spans="1:8" ht="30.6" customHeight="1" x14ac:dyDescent="0.3">
      <c r="A143" s="35"/>
      <c r="B143" s="36" t="s">
        <v>70</v>
      </c>
      <c r="C143" s="37" t="s">
        <v>173</v>
      </c>
      <c r="D143" s="105">
        <v>5400</v>
      </c>
      <c r="E143" s="39">
        <v>8</v>
      </c>
      <c r="F143" s="40" t="s">
        <v>71</v>
      </c>
      <c r="G143" s="2"/>
      <c r="H143" s="11" t="s">
        <v>336</v>
      </c>
    </row>
    <row r="144" spans="1:8" ht="30.6" customHeight="1" x14ac:dyDescent="0.3">
      <c r="A144" s="35"/>
      <c r="B144" s="36" t="s">
        <v>77</v>
      </c>
      <c r="C144" s="37" t="s">
        <v>174</v>
      </c>
      <c r="D144" s="105">
        <v>4350</v>
      </c>
      <c r="E144" s="39" t="s">
        <v>37</v>
      </c>
      <c r="F144" s="40" t="s">
        <v>74</v>
      </c>
      <c r="G144" s="2"/>
      <c r="H144" s="11" t="s">
        <v>360</v>
      </c>
    </row>
    <row r="145" spans="1:8" ht="30.6" customHeight="1" x14ac:dyDescent="0.3">
      <c r="A145" s="35"/>
      <c r="B145" s="36" t="s">
        <v>64</v>
      </c>
      <c r="C145" s="37" t="s">
        <v>237</v>
      </c>
      <c r="D145" s="105">
        <v>43100</v>
      </c>
      <c r="E145" s="39">
        <v>8</v>
      </c>
      <c r="F145" s="46" t="s">
        <v>506</v>
      </c>
      <c r="G145" s="2"/>
      <c r="H145" s="11" t="s">
        <v>360</v>
      </c>
    </row>
    <row r="146" spans="1:8" ht="30.6" customHeight="1" x14ac:dyDescent="0.3">
      <c r="A146" s="35"/>
      <c r="B146" s="36" t="s">
        <v>78</v>
      </c>
      <c r="C146" s="37" t="s">
        <v>238</v>
      </c>
      <c r="D146" s="105">
        <v>300</v>
      </c>
      <c r="E146" s="39">
        <v>4</v>
      </c>
      <c r="F146" s="40" t="s">
        <v>79</v>
      </c>
      <c r="G146" s="2"/>
      <c r="H146" s="11" t="s">
        <v>337</v>
      </c>
    </row>
    <row r="147" spans="1:8" ht="29.1" customHeight="1" x14ac:dyDescent="0.3">
      <c r="A147" s="35"/>
      <c r="B147" s="36" t="s">
        <v>175</v>
      </c>
      <c r="C147" s="37" t="s">
        <v>239</v>
      </c>
      <c r="D147" s="105">
        <v>13820</v>
      </c>
      <c r="E147" s="39" t="s">
        <v>176</v>
      </c>
      <c r="F147" s="40" t="s">
        <v>177</v>
      </c>
      <c r="G147" s="2"/>
      <c r="H147" s="11" t="s">
        <v>337</v>
      </c>
    </row>
    <row r="148" spans="1:8" ht="29.1" customHeight="1" x14ac:dyDescent="0.3">
      <c r="A148" s="35"/>
      <c r="B148" s="36" t="s">
        <v>355</v>
      </c>
      <c r="C148" s="37" t="s">
        <v>356</v>
      </c>
      <c r="D148" s="105">
        <v>7530</v>
      </c>
      <c r="E148" s="39">
        <v>4</v>
      </c>
      <c r="F148" s="40" t="s">
        <v>357</v>
      </c>
      <c r="G148" s="2"/>
      <c r="H148" s="11" t="s">
        <v>337</v>
      </c>
    </row>
    <row r="149" spans="1:8" ht="38.25" customHeight="1" x14ac:dyDescent="0.3">
      <c r="A149" s="35"/>
      <c r="B149" s="36" t="s">
        <v>358</v>
      </c>
      <c r="C149" s="37" t="s">
        <v>359</v>
      </c>
      <c r="D149" s="105">
        <v>10330</v>
      </c>
      <c r="E149" s="39">
        <v>4</v>
      </c>
      <c r="F149" s="40" t="s">
        <v>357</v>
      </c>
      <c r="G149" s="2"/>
      <c r="H149" s="11" t="s">
        <v>338</v>
      </c>
    </row>
    <row r="150" spans="1:8" ht="29.1" customHeight="1" x14ac:dyDescent="0.3">
      <c r="A150" s="35"/>
      <c r="B150" s="36" t="s">
        <v>178</v>
      </c>
      <c r="C150" s="37" t="s">
        <v>179</v>
      </c>
      <c r="D150" s="105">
        <v>7100</v>
      </c>
      <c r="E150" s="39">
        <v>4</v>
      </c>
      <c r="F150" s="40" t="s">
        <v>118</v>
      </c>
      <c r="G150" s="2"/>
      <c r="H150" s="11" t="s">
        <v>338</v>
      </c>
    </row>
    <row r="151" spans="1:8" ht="29.1" customHeight="1" x14ac:dyDescent="0.3">
      <c r="A151" s="35"/>
      <c r="B151" s="36" t="s">
        <v>180</v>
      </c>
      <c r="C151" s="37" t="s">
        <v>181</v>
      </c>
      <c r="D151" s="105">
        <v>9000</v>
      </c>
      <c r="E151" s="39">
        <v>6</v>
      </c>
      <c r="F151" s="40" t="s">
        <v>182</v>
      </c>
      <c r="G151" s="2"/>
      <c r="H151" s="11" t="s">
        <v>338</v>
      </c>
    </row>
    <row r="152" spans="1:8" ht="29.1" customHeight="1" x14ac:dyDescent="0.3">
      <c r="A152" s="35"/>
      <c r="B152" s="36" t="s">
        <v>183</v>
      </c>
      <c r="C152" s="37" t="s">
        <v>184</v>
      </c>
      <c r="D152" s="105">
        <v>6200</v>
      </c>
      <c r="E152" s="39">
        <v>8</v>
      </c>
      <c r="F152" s="40" t="s">
        <v>92</v>
      </c>
      <c r="G152" s="2"/>
      <c r="H152" s="11" t="s">
        <v>339</v>
      </c>
    </row>
    <row r="153" spans="1:8" ht="30.6" customHeight="1" x14ac:dyDescent="0.3">
      <c r="A153" s="70"/>
      <c r="B153" s="87" t="s">
        <v>508</v>
      </c>
      <c r="C153" s="120" t="s">
        <v>507</v>
      </c>
      <c r="D153" s="106">
        <v>4900</v>
      </c>
      <c r="E153" s="80" t="s">
        <v>19</v>
      </c>
      <c r="F153" s="81" t="s">
        <v>240</v>
      </c>
      <c r="G153" s="2"/>
      <c r="H153" s="11" t="s">
        <v>339</v>
      </c>
    </row>
    <row r="154" spans="1:8" ht="30.6" customHeight="1" x14ac:dyDescent="0.3">
      <c r="A154" s="64"/>
      <c r="B154" s="84" t="s">
        <v>185</v>
      </c>
      <c r="C154" s="85" t="s">
        <v>241</v>
      </c>
      <c r="D154" s="107">
        <v>4457</v>
      </c>
      <c r="E154" s="68">
        <v>6</v>
      </c>
      <c r="F154" s="79" t="s">
        <v>242</v>
      </c>
      <c r="G154" s="2"/>
      <c r="H154" s="11" t="s">
        <v>339</v>
      </c>
    </row>
    <row r="155" spans="1:8" ht="30.6" customHeight="1" x14ac:dyDescent="0.3">
      <c r="A155" s="35"/>
      <c r="B155" s="52" t="s">
        <v>243</v>
      </c>
      <c r="C155" s="37" t="s">
        <v>244</v>
      </c>
      <c r="D155" s="105">
        <v>4630</v>
      </c>
      <c r="E155" s="39">
        <v>6</v>
      </c>
      <c r="F155" s="40" t="s">
        <v>245</v>
      </c>
      <c r="G155" s="2"/>
      <c r="H155" s="11" t="s">
        <v>339</v>
      </c>
    </row>
    <row r="156" spans="1:8" ht="30.6" customHeight="1" x14ac:dyDescent="0.3">
      <c r="A156" s="64"/>
      <c r="B156" s="84" t="s">
        <v>86</v>
      </c>
      <c r="C156" s="85" t="s">
        <v>246</v>
      </c>
      <c r="D156" s="107">
        <v>16970</v>
      </c>
      <c r="E156" s="86" t="s">
        <v>68</v>
      </c>
      <c r="F156" s="79" t="s">
        <v>87</v>
      </c>
      <c r="G156" s="2"/>
      <c r="H156" s="11" t="s">
        <v>339</v>
      </c>
    </row>
    <row r="157" spans="1:8" ht="30.6" customHeight="1" x14ac:dyDescent="0.3">
      <c r="A157" s="35"/>
      <c r="B157" s="52" t="s">
        <v>230</v>
      </c>
      <c r="C157" s="41" t="s">
        <v>247</v>
      </c>
      <c r="D157" s="105">
        <v>1160</v>
      </c>
      <c r="E157" s="39">
        <v>6</v>
      </c>
      <c r="F157" s="40" t="s">
        <v>88</v>
      </c>
      <c r="G157" s="2"/>
      <c r="H157" s="11" t="s">
        <v>339</v>
      </c>
    </row>
    <row r="158" spans="1:8" ht="30.6" customHeight="1" x14ac:dyDescent="0.3">
      <c r="A158" s="35"/>
      <c r="B158" s="36" t="s">
        <v>186</v>
      </c>
      <c r="C158" s="41" t="s">
        <v>509</v>
      </c>
      <c r="D158" s="105">
        <v>890</v>
      </c>
      <c r="E158" s="39">
        <v>8</v>
      </c>
      <c r="F158" s="40" t="s">
        <v>187</v>
      </c>
      <c r="G158" s="2"/>
      <c r="H158" s="11" t="s">
        <v>339</v>
      </c>
    </row>
    <row r="159" spans="1:8" ht="30.6" customHeight="1" x14ac:dyDescent="0.3">
      <c r="A159" s="35"/>
      <c r="B159" s="52" t="s">
        <v>510</v>
      </c>
      <c r="C159" s="41" t="s">
        <v>248</v>
      </c>
      <c r="D159" s="105">
        <v>3640</v>
      </c>
      <c r="E159" s="39" t="s">
        <v>188</v>
      </c>
      <c r="F159" s="40" t="s">
        <v>89</v>
      </c>
      <c r="G159" s="2"/>
      <c r="H159" s="11" t="s">
        <v>339</v>
      </c>
    </row>
    <row r="160" spans="1:8" ht="30.6" customHeight="1" x14ac:dyDescent="0.3">
      <c r="A160" s="35"/>
      <c r="B160" s="36" t="s">
        <v>90</v>
      </c>
      <c r="C160" s="41" t="s">
        <v>511</v>
      </c>
      <c r="D160" s="105">
        <v>4050</v>
      </c>
      <c r="E160" s="39">
        <v>6</v>
      </c>
      <c r="F160" s="40" t="s">
        <v>189</v>
      </c>
      <c r="G160" s="2"/>
      <c r="H160" s="11" t="s">
        <v>339</v>
      </c>
    </row>
    <row r="161" spans="1:8" ht="30.6" customHeight="1" x14ac:dyDescent="0.3">
      <c r="A161" s="35"/>
      <c r="B161" s="52" t="s">
        <v>513</v>
      </c>
      <c r="C161" s="41" t="s">
        <v>512</v>
      </c>
      <c r="D161" s="105">
        <v>3200</v>
      </c>
      <c r="E161" s="39">
        <v>6</v>
      </c>
      <c r="F161" s="40" t="s">
        <v>91</v>
      </c>
      <c r="G161" s="2"/>
      <c r="H161" s="11" t="s">
        <v>335</v>
      </c>
    </row>
    <row r="162" spans="1:8" ht="30.6" customHeight="1" x14ac:dyDescent="0.3">
      <c r="A162" s="35"/>
      <c r="B162" s="52" t="s">
        <v>514</v>
      </c>
      <c r="C162" s="41" t="s">
        <v>450</v>
      </c>
      <c r="D162" s="105">
        <v>7940</v>
      </c>
      <c r="E162" s="39">
        <v>6</v>
      </c>
      <c r="F162" s="40" t="s">
        <v>190</v>
      </c>
      <c r="G162" s="2"/>
      <c r="H162" s="11" t="s">
        <v>335</v>
      </c>
    </row>
    <row r="163" spans="1:8" ht="30.6" customHeight="1" x14ac:dyDescent="0.3">
      <c r="A163" s="35"/>
      <c r="B163" s="52" t="s">
        <v>191</v>
      </c>
      <c r="C163" s="41" t="s">
        <v>249</v>
      </c>
      <c r="D163" s="105">
        <v>3140</v>
      </c>
      <c r="E163" s="39" t="s">
        <v>19</v>
      </c>
      <c r="F163" s="40" t="s">
        <v>113</v>
      </c>
      <c r="G163" s="2"/>
      <c r="H163" s="11" t="s">
        <v>335</v>
      </c>
    </row>
    <row r="164" spans="1:8" ht="30.6" customHeight="1" x14ac:dyDescent="0.3">
      <c r="A164" s="35"/>
      <c r="B164" s="52" t="s">
        <v>515</v>
      </c>
      <c r="C164" s="41" t="s">
        <v>516</v>
      </c>
      <c r="D164" s="105">
        <v>13640</v>
      </c>
      <c r="E164" s="39">
        <v>4</v>
      </c>
      <c r="F164" s="40" t="s">
        <v>114</v>
      </c>
      <c r="G164" s="2"/>
      <c r="H164" s="11" t="s">
        <v>353</v>
      </c>
    </row>
    <row r="165" spans="1:8" ht="30.6" customHeight="1" x14ac:dyDescent="0.3">
      <c r="A165" s="35"/>
      <c r="B165" s="52" t="s">
        <v>192</v>
      </c>
      <c r="C165" s="41" t="s">
        <v>250</v>
      </c>
      <c r="D165" s="105">
        <v>5160</v>
      </c>
      <c r="E165" s="39">
        <v>4</v>
      </c>
      <c r="F165" s="40" t="s">
        <v>193</v>
      </c>
      <c r="G165" s="2"/>
      <c r="H165" s="11" t="s">
        <v>340</v>
      </c>
    </row>
    <row r="166" spans="1:8" ht="30.6" customHeight="1" x14ac:dyDescent="0.3">
      <c r="A166" s="35"/>
      <c r="B166" s="52" t="s">
        <v>518</v>
      </c>
      <c r="C166" s="41" t="s">
        <v>517</v>
      </c>
      <c r="D166" s="105">
        <v>5600</v>
      </c>
      <c r="E166" s="39">
        <v>4</v>
      </c>
      <c r="F166" s="40" t="s">
        <v>119</v>
      </c>
      <c r="G166" s="2"/>
      <c r="H166" s="11" t="s">
        <v>340</v>
      </c>
    </row>
    <row r="167" spans="1:8" ht="30.6" customHeight="1" x14ac:dyDescent="0.3">
      <c r="A167" s="35"/>
      <c r="B167" s="52" t="s">
        <v>463</v>
      </c>
      <c r="C167" s="41" t="s">
        <v>251</v>
      </c>
      <c r="D167" s="105">
        <v>2760</v>
      </c>
      <c r="E167" s="39">
        <v>4</v>
      </c>
      <c r="F167" s="40" t="s">
        <v>119</v>
      </c>
      <c r="G167" s="8"/>
      <c r="H167" s="11" t="s">
        <v>340</v>
      </c>
    </row>
    <row r="168" spans="1:8" ht="30.6" customHeight="1" x14ac:dyDescent="0.3">
      <c r="A168" s="35"/>
      <c r="B168" s="52" t="s">
        <v>462</v>
      </c>
      <c r="C168" s="41" t="s">
        <v>451</v>
      </c>
      <c r="D168" s="105">
        <v>17200</v>
      </c>
      <c r="E168" s="39">
        <v>4</v>
      </c>
      <c r="F168" s="46" t="s">
        <v>460</v>
      </c>
      <c r="G168" s="8"/>
      <c r="H168" s="11" t="s">
        <v>340</v>
      </c>
    </row>
    <row r="169" spans="1:8" ht="30.6" customHeight="1" x14ac:dyDescent="0.3">
      <c r="A169" s="35"/>
      <c r="B169" s="52" t="s">
        <v>93</v>
      </c>
      <c r="C169" s="41" t="s">
        <v>519</v>
      </c>
      <c r="D169" s="105">
        <v>4280</v>
      </c>
      <c r="E169" s="116" t="s">
        <v>461</v>
      </c>
      <c r="F169" s="40" t="s">
        <v>194</v>
      </c>
      <c r="G169" s="8"/>
      <c r="H169" s="11" t="s">
        <v>340</v>
      </c>
    </row>
    <row r="170" spans="1:8" ht="30.6" customHeight="1" x14ac:dyDescent="0.3">
      <c r="A170" s="35"/>
      <c r="B170" s="52" t="s">
        <v>94</v>
      </c>
      <c r="C170" s="41" t="s">
        <v>520</v>
      </c>
      <c r="D170" s="105">
        <v>4600</v>
      </c>
      <c r="E170" s="117" t="s">
        <v>461</v>
      </c>
      <c r="F170" s="40" t="s">
        <v>194</v>
      </c>
      <c r="G170" s="8"/>
      <c r="H170" s="11" t="s">
        <v>340</v>
      </c>
    </row>
    <row r="171" spans="1:8" ht="30.6" customHeight="1" x14ac:dyDescent="0.3">
      <c r="A171" s="35"/>
      <c r="B171" s="52" t="s">
        <v>464</v>
      </c>
      <c r="C171" s="53" t="s">
        <v>521</v>
      </c>
      <c r="D171" s="111">
        <v>2200</v>
      </c>
      <c r="E171" s="52">
        <v>4</v>
      </c>
      <c r="F171" s="54" t="s">
        <v>452</v>
      </c>
      <c r="G171" s="8"/>
      <c r="H171" s="11" t="s">
        <v>340</v>
      </c>
    </row>
    <row r="172" spans="1:8" ht="30.6" customHeight="1" x14ac:dyDescent="0.3">
      <c r="A172" s="35"/>
      <c r="B172" s="52" t="s">
        <v>453</v>
      </c>
      <c r="C172" s="53" t="s">
        <v>195</v>
      </c>
      <c r="D172" s="111">
        <v>3910</v>
      </c>
      <c r="E172" s="52">
        <v>6</v>
      </c>
      <c r="F172" s="54" t="s">
        <v>454</v>
      </c>
      <c r="G172" s="8"/>
      <c r="H172" s="11" t="s">
        <v>340</v>
      </c>
    </row>
    <row r="173" spans="1:8" ht="30.6" customHeight="1" x14ac:dyDescent="0.3">
      <c r="A173" s="35"/>
      <c r="B173" s="52" t="s">
        <v>453</v>
      </c>
      <c r="C173" s="53" t="s">
        <v>196</v>
      </c>
      <c r="D173" s="111">
        <v>5854</v>
      </c>
      <c r="E173" s="52">
        <v>6</v>
      </c>
      <c r="F173" s="54" t="s">
        <v>454</v>
      </c>
      <c r="G173" s="9"/>
      <c r="H173" s="11" t="s">
        <v>341</v>
      </c>
    </row>
    <row r="174" spans="1:8" ht="30.6" customHeight="1" x14ac:dyDescent="0.3">
      <c r="A174" s="35"/>
      <c r="B174" s="52" t="s">
        <v>453</v>
      </c>
      <c r="C174" s="53" t="s">
        <v>197</v>
      </c>
      <c r="D174" s="111">
        <v>14605</v>
      </c>
      <c r="E174" s="52">
        <v>6</v>
      </c>
      <c r="F174" s="54" t="s">
        <v>455</v>
      </c>
      <c r="G174" s="9"/>
      <c r="H174" s="11" t="s">
        <v>341</v>
      </c>
    </row>
    <row r="175" spans="1:8" ht="30.6" customHeight="1" x14ac:dyDescent="0.3">
      <c r="A175" s="35"/>
      <c r="B175" s="52" t="s">
        <v>453</v>
      </c>
      <c r="C175" s="53" t="s">
        <v>198</v>
      </c>
      <c r="D175" s="111">
        <v>3479</v>
      </c>
      <c r="E175" s="52">
        <v>6</v>
      </c>
      <c r="F175" s="54" t="s">
        <v>456</v>
      </c>
      <c r="G175" s="10"/>
      <c r="H175" s="11" t="s">
        <v>341</v>
      </c>
    </row>
    <row r="176" spans="1:8" ht="30.6" customHeight="1" x14ac:dyDescent="0.3">
      <c r="A176" s="35"/>
      <c r="B176" s="52" t="s">
        <v>457</v>
      </c>
      <c r="C176" s="53" t="s">
        <v>522</v>
      </c>
      <c r="D176" s="111">
        <v>5700</v>
      </c>
      <c r="E176" s="52">
        <v>4</v>
      </c>
      <c r="F176" s="54" t="s">
        <v>458</v>
      </c>
      <c r="G176" s="10"/>
      <c r="H176" s="11" t="s">
        <v>341</v>
      </c>
    </row>
    <row r="177" spans="1:8" ht="30.6" customHeight="1" x14ac:dyDescent="0.3">
      <c r="A177" s="70"/>
      <c r="B177" s="87" t="s">
        <v>465</v>
      </c>
      <c r="C177" s="104" t="s">
        <v>459</v>
      </c>
      <c r="D177" s="106">
        <v>18060</v>
      </c>
      <c r="E177" s="25">
        <v>4</v>
      </c>
      <c r="F177" s="123" t="s">
        <v>467</v>
      </c>
      <c r="G177" s="10"/>
      <c r="H177" s="11" t="s">
        <v>341</v>
      </c>
    </row>
    <row r="178" spans="1:8" ht="30.6" customHeight="1" x14ac:dyDescent="0.3">
      <c r="A178" s="64"/>
      <c r="B178" s="84" t="s">
        <v>466</v>
      </c>
      <c r="C178" s="121" t="s">
        <v>81</v>
      </c>
      <c r="D178" s="107">
        <v>14040</v>
      </c>
      <c r="E178" s="65">
        <v>4</v>
      </c>
      <c r="F178" s="122" t="s">
        <v>468</v>
      </c>
      <c r="G178" s="9"/>
      <c r="H178" s="11" t="s">
        <v>341</v>
      </c>
    </row>
    <row r="179" spans="1:8" ht="30.6" customHeight="1" x14ac:dyDescent="0.3">
      <c r="A179" s="35"/>
      <c r="B179" s="36" t="s">
        <v>84</v>
      </c>
      <c r="C179" s="55" t="s">
        <v>252</v>
      </c>
      <c r="D179" s="105">
        <v>10800</v>
      </c>
      <c r="E179" s="36">
        <v>4</v>
      </c>
      <c r="F179" s="57" t="s">
        <v>80</v>
      </c>
      <c r="G179" s="10"/>
      <c r="H179" s="11" t="s">
        <v>341</v>
      </c>
    </row>
    <row r="180" spans="1:8" ht="30.6" customHeight="1" x14ac:dyDescent="0.3">
      <c r="A180" s="64"/>
      <c r="B180" s="84" t="s">
        <v>85</v>
      </c>
      <c r="C180" s="102" t="s">
        <v>253</v>
      </c>
      <c r="D180" s="107">
        <v>5010</v>
      </c>
      <c r="E180" s="65" t="s">
        <v>65</v>
      </c>
      <c r="F180" s="103" t="s">
        <v>80</v>
      </c>
      <c r="G180" s="10"/>
      <c r="H180" s="11" t="s">
        <v>341</v>
      </c>
    </row>
    <row r="181" spans="1:8" ht="30.6" customHeight="1" x14ac:dyDescent="0.3">
      <c r="A181" s="35"/>
      <c r="B181" s="52" t="s">
        <v>199</v>
      </c>
      <c r="C181" s="55" t="s">
        <v>200</v>
      </c>
      <c r="D181" s="105">
        <v>2090</v>
      </c>
      <c r="E181" s="36">
        <v>4</v>
      </c>
      <c r="F181" s="57" t="s">
        <v>201</v>
      </c>
      <c r="G181" s="10"/>
      <c r="H181" s="11" t="s">
        <v>341</v>
      </c>
    </row>
    <row r="182" spans="1:8" ht="30.6" customHeight="1" x14ac:dyDescent="0.3">
      <c r="A182" s="35"/>
      <c r="B182" s="36" t="s">
        <v>82</v>
      </c>
      <c r="C182" s="58" t="s">
        <v>254</v>
      </c>
      <c r="D182" s="105">
        <v>8030</v>
      </c>
      <c r="E182" s="52" t="s">
        <v>83</v>
      </c>
      <c r="F182" s="56" t="s">
        <v>523</v>
      </c>
      <c r="G182" s="2"/>
    </row>
    <row r="183" spans="1:8" ht="30.6" customHeight="1" x14ac:dyDescent="0.3">
      <c r="A183" s="35"/>
      <c r="B183" s="52" t="s">
        <v>524</v>
      </c>
      <c r="C183" s="58" t="s">
        <v>202</v>
      </c>
      <c r="D183" s="105">
        <v>4400</v>
      </c>
      <c r="E183" s="36">
        <v>4</v>
      </c>
      <c r="F183" s="57" t="s">
        <v>203</v>
      </c>
      <c r="G183" s="4"/>
      <c r="H183" s="11" t="s">
        <v>342</v>
      </c>
    </row>
    <row r="184" spans="1:8" ht="30.6" customHeight="1" x14ac:dyDescent="0.3">
      <c r="A184" s="35"/>
      <c r="B184" s="52" t="s">
        <v>525</v>
      </c>
      <c r="C184" s="58" t="s">
        <v>255</v>
      </c>
      <c r="D184" s="105">
        <v>6406</v>
      </c>
      <c r="E184" s="36" t="s">
        <v>204</v>
      </c>
      <c r="F184" s="57" t="s">
        <v>205</v>
      </c>
      <c r="G184" s="2"/>
      <c r="H184" s="11" t="s">
        <v>342</v>
      </c>
    </row>
    <row r="185" spans="1:8" ht="30.6" customHeight="1" x14ac:dyDescent="0.3">
      <c r="A185" s="35"/>
      <c r="B185" s="52" t="s">
        <v>526</v>
      </c>
      <c r="C185" s="58" t="s">
        <v>256</v>
      </c>
      <c r="D185" s="105">
        <v>4900</v>
      </c>
      <c r="E185" s="36">
        <v>6</v>
      </c>
      <c r="F185" s="57" t="s">
        <v>95</v>
      </c>
      <c r="G185" s="2"/>
      <c r="H185" s="11" t="s">
        <v>342</v>
      </c>
    </row>
    <row r="186" spans="1:8" ht="30.6" customHeight="1" x14ac:dyDescent="0.3">
      <c r="A186" s="31" t="s">
        <v>206</v>
      </c>
      <c r="B186" s="126" t="s">
        <v>207</v>
      </c>
      <c r="C186" s="126"/>
      <c r="D186" s="32">
        <f>SUM(D187:D198)</f>
        <v>130680</v>
      </c>
      <c r="E186" s="33"/>
      <c r="F186" s="40"/>
      <c r="G186" s="2"/>
      <c r="H186" s="11" t="s">
        <v>343</v>
      </c>
    </row>
    <row r="187" spans="1:8" ht="30.6" customHeight="1" x14ac:dyDescent="0.3">
      <c r="A187" s="35"/>
      <c r="B187" s="59" t="s">
        <v>217</v>
      </c>
      <c r="C187" s="37" t="s">
        <v>218</v>
      </c>
      <c r="D187" s="38">
        <v>9300</v>
      </c>
      <c r="E187" s="47">
        <v>4</v>
      </c>
      <c r="F187" s="46" t="s">
        <v>527</v>
      </c>
      <c r="G187" s="2"/>
      <c r="H187" s="11" t="s">
        <v>344</v>
      </c>
    </row>
    <row r="188" spans="1:8" ht="30.6" customHeight="1" x14ac:dyDescent="0.3">
      <c r="A188" s="35"/>
      <c r="B188" s="59" t="s">
        <v>217</v>
      </c>
      <c r="C188" s="37" t="s">
        <v>219</v>
      </c>
      <c r="D188" s="38">
        <v>14000</v>
      </c>
      <c r="E188" s="47" t="s">
        <v>19</v>
      </c>
      <c r="F188" s="40" t="s">
        <v>100</v>
      </c>
      <c r="G188" s="2"/>
      <c r="H188" s="11" t="s">
        <v>346</v>
      </c>
    </row>
    <row r="189" spans="1:8" ht="30.6" customHeight="1" x14ac:dyDescent="0.3">
      <c r="A189" s="31"/>
      <c r="B189" s="59" t="s">
        <v>220</v>
      </c>
      <c r="C189" s="37" t="s">
        <v>221</v>
      </c>
      <c r="D189" s="38">
        <v>14300</v>
      </c>
      <c r="E189" s="47" t="s">
        <v>19</v>
      </c>
      <c r="F189" s="40" t="s">
        <v>103</v>
      </c>
      <c r="G189" s="2"/>
      <c r="H189" s="11" t="s">
        <v>346</v>
      </c>
    </row>
    <row r="190" spans="1:8" ht="30.6" customHeight="1" x14ac:dyDescent="0.3">
      <c r="A190" s="31"/>
      <c r="B190" s="59" t="s">
        <v>222</v>
      </c>
      <c r="C190" s="37" t="s">
        <v>223</v>
      </c>
      <c r="D190" s="38">
        <v>14700</v>
      </c>
      <c r="E190" s="39">
        <v>6</v>
      </c>
      <c r="F190" s="40" t="s">
        <v>104</v>
      </c>
      <c r="G190" s="2"/>
      <c r="H190" s="11" t="s">
        <v>345</v>
      </c>
    </row>
    <row r="191" spans="1:8" ht="30.6" customHeight="1" x14ac:dyDescent="0.3">
      <c r="A191" s="31"/>
      <c r="B191" s="59" t="s">
        <v>217</v>
      </c>
      <c r="C191" s="37" t="s">
        <v>224</v>
      </c>
      <c r="D191" s="38">
        <v>3420</v>
      </c>
      <c r="E191" s="39">
        <v>4</v>
      </c>
      <c r="F191" s="40" t="s">
        <v>208</v>
      </c>
      <c r="G191" s="2"/>
      <c r="H191" s="11" t="s">
        <v>346</v>
      </c>
    </row>
    <row r="192" spans="1:8" ht="30.6" customHeight="1" x14ac:dyDescent="0.3">
      <c r="A192" s="31"/>
      <c r="B192" s="59" t="s">
        <v>98</v>
      </c>
      <c r="C192" s="37" t="s">
        <v>225</v>
      </c>
      <c r="D192" s="38">
        <v>19870</v>
      </c>
      <c r="E192" s="47">
        <v>4</v>
      </c>
      <c r="F192" s="40" t="s">
        <v>469</v>
      </c>
      <c r="G192" s="2"/>
      <c r="H192" s="11" t="s">
        <v>346</v>
      </c>
    </row>
    <row r="193" spans="1:8" ht="30.6" customHeight="1" x14ac:dyDescent="0.3">
      <c r="A193" s="31"/>
      <c r="B193" s="59" t="s">
        <v>96</v>
      </c>
      <c r="C193" s="37" t="s">
        <v>226</v>
      </c>
      <c r="D193" s="38">
        <v>7060</v>
      </c>
      <c r="E193" s="47" t="s">
        <v>37</v>
      </c>
      <c r="F193" s="40" t="s">
        <v>97</v>
      </c>
      <c r="G193" s="2"/>
      <c r="H193" s="11" t="s">
        <v>347</v>
      </c>
    </row>
    <row r="194" spans="1:8" ht="30.6" customHeight="1" x14ac:dyDescent="0.3">
      <c r="A194" s="35"/>
      <c r="B194" s="60" t="s">
        <v>101</v>
      </c>
      <c r="C194" s="37" t="s">
        <v>227</v>
      </c>
      <c r="D194" s="38">
        <v>4700</v>
      </c>
      <c r="E194" s="47">
        <v>4</v>
      </c>
      <c r="F194" s="40" t="s">
        <v>102</v>
      </c>
      <c r="G194" s="2"/>
      <c r="H194" s="11" t="s">
        <v>340</v>
      </c>
    </row>
    <row r="195" spans="1:8" ht="30.6" customHeight="1" x14ac:dyDescent="0.3">
      <c r="A195" s="35"/>
      <c r="B195" s="60" t="s">
        <v>105</v>
      </c>
      <c r="C195" s="37" t="s">
        <v>228</v>
      </c>
      <c r="D195" s="38">
        <v>7400</v>
      </c>
      <c r="E195" s="47">
        <v>4</v>
      </c>
      <c r="F195" s="40" t="s">
        <v>106</v>
      </c>
      <c r="G195" s="2"/>
    </row>
    <row r="196" spans="1:8" ht="30.6" customHeight="1" x14ac:dyDescent="0.3">
      <c r="A196" s="35"/>
      <c r="B196" s="60" t="s">
        <v>105</v>
      </c>
      <c r="C196" s="41" t="s">
        <v>528</v>
      </c>
      <c r="D196" s="38">
        <v>10050</v>
      </c>
      <c r="E196" s="47">
        <v>4</v>
      </c>
      <c r="F196" s="40" t="s">
        <v>107</v>
      </c>
      <c r="G196" s="2"/>
      <c r="H196" s="11" t="s">
        <v>348</v>
      </c>
    </row>
    <row r="197" spans="1:8" ht="30.6" customHeight="1" x14ac:dyDescent="0.3">
      <c r="A197" s="35"/>
      <c r="B197" s="60" t="s">
        <v>105</v>
      </c>
      <c r="C197" s="41" t="s">
        <v>529</v>
      </c>
      <c r="D197" s="38">
        <v>3780</v>
      </c>
      <c r="E197" s="47">
        <v>4</v>
      </c>
      <c r="F197" s="40" t="s">
        <v>209</v>
      </c>
      <c r="G197" s="2"/>
      <c r="H197" s="11" t="s">
        <v>348</v>
      </c>
    </row>
    <row r="198" spans="1:8" ht="30.6" customHeight="1" x14ac:dyDescent="0.3">
      <c r="A198" s="35"/>
      <c r="B198" s="60" t="s">
        <v>470</v>
      </c>
      <c r="C198" s="41" t="s">
        <v>229</v>
      </c>
      <c r="D198" s="38">
        <v>22100</v>
      </c>
      <c r="E198" s="47">
        <v>4</v>
      </c>
      <c r="F198" s="40" t="s">
        <v>194</v>
      </c>
      <c r="G198" s="2"/>
      <c r="H198" s="11" t="s">
        <v>349</v>
      </c>
    </row>
    <row r="199" spans="1:8" ht="30.6" customHeight="1" x14ac:dyDescent="0.3">
      <c r="A199" s="31" t="s">
        <v>210</v>
      </c>
      <c r="B199" s="126" t="s">
        <v>471</v>
      </c>
      <c r="C199" s="126"/>
      <c r="D199" s="32">
        <f>SUM(D200:D208)</f>
        <v>65331</v>
      </c>
      <c r="E199" s="33"/>
      <c r="F199" s="40"/>
      <c r="G199" s="2"/>
      <c r="H199" s="11" t="s">
        <v>343</v>
      </c>
    </row>
    <row r="200" spans="1:8" ht="30.6" customHeight="1" x14ac:dyDescent="0.3">
      <c r="A200" s="35"/>
      <c r="B200" s="59" t="s">
        <v>108</v>
      </c>
      <c r="C200" s="37" t="s">
        <v>211</v>
      </c>
      <c r="D200" s="38">
        <v>7900</v>
      </c>
      <c r="E200" s="47">
        <v>6</v>
      </c>
      <c r="F200" s="40" t="s">
        <v>109</v>
      </c>
      <c r="G200" s="2"/>
      <c r="H200" s="11" t="s">
        <v>349</v>
      </c>
    </row>
    <row r="201" spans="1:8" ht="30.6" customHeight="1" x14ac:dyDescent="0.3">
      <c r="A201" s="70"/>
      <c r="B201" s="125" t="s">
        <v>110</v>
      </c>
      <c r="C201" s="83" t="s">
        <v>212</v>
      </c>
      <c r="D201" s="63">
        <v>9900</v>
      </c>
      <c r="E201" s="71">
        <v>6</v>
      </c>
      <c r="F201" s="81" t="s">
        <v>111</v>
      </c>
      <c r="G201" s="2"/>
      <c r="H201" s="11" t="s">
        <v>350</v>
      </c>
    </row>
    <row r="202" spans="1:8" ht="30.6" customHeight="1" x14ac:dyDescent="0.3">
      <c r="A202" s="64"/>
      <c r="B202" s="124" t="s">
        <v>213</v>
      </c>
      <c r="C202" s="82" t="s">
        <v>120</v>
      </c>
      <c r="D202" s="67">
        <v>11200</v>
      </c>
      <c r="E202" s="86">
        <v>4</v>
      </c>
      <c r="F202" s="79" t="s">
        <v>121</v>
      </c>
      <c r="G202" s="2"/>
    </row>
    <row r="203" spans="1:8" ht="30.6" customHeight="1" x14ac:dyDescent="0.3">
      <c r="A203" s="35"/>
      <c r="B203" s="59" t="s">
        <v>214</v>
      </c>
      <c r="C203" s="37" t="s">
        <v>215</v>
      </c>
      <c r="D203" s="38">
        <v>2560</v>
      </c>
      <c r="E203" s="47">
        <v>6</v>
      </c>
      <c r="F203" s="40" t="s">
        <v>216</v>
      </c>
      <c r="H203" s="11" t="s">
        <v>363</v>
      </c>
    </row>
    <row r="204" spans="1:8" ht="30.6" customHeight="1" x14ac:dyDescent="0.3">
      <c r="A204" s="35"/>
      <c r="B204" s="60" t="s">
        <v>472</v>
      </c>
      <c r="C204" s="37" t="s">
        <v>473</v>
      </c>
      <c r="D204" s="38">
        <v>4901</v>
      </c>
      <c r="E204" s="39">
        <v>4</v>
      </c>
      <c r="F204" s="40" t="s">
        <v>474</v>
      </c>
    </row>
    <row r="205" spans="1:8" ht="30.6" customHeight="1" x14ac:dyDescent="0.3">
      <c r="A205" s="88"/>
      <c r="B205" s="89" t="s">
        <v>530</v>
      </c>
      <c r="C205" s="82" t="s">
        <v>475</v>
      </c>
      <c r="D205" s="67">
        <v>8900</v>
      </c>
      <c r="E205" s="68">
        <v>4</v>
      </c>
      <c r="F205" s="79" t="s">
        <v>476</v>
      </c>
    </row>
    <row r="206" spans="1:8" ht="30.6" customHeight="1" x14ac:dyDescent="0.3">
      <c r="A206" s="61"/>
      <c r="B206" s="60" t="s">
        <v>477</v>
      </c>
      <c r="C206" s="37" t="s">
        <v>478</v>
      </c>
      <c r="D206" s="38">
        <v>2900</v>
      </c>
      <c r="E206" s="39">
        <v>4</v>
      </c>
      <c r="F206" s="40" t="s">
        <v>479</v>
      </c>
    </row>
    <row r="207" spans="1:8" ht="30.6" customHeight="1" x14ac:dyDescent="0.3">
      <c r="A207" s="61"/>
      <c r="B207" s="60" t="s">
        <v>480</v>
      </c>
      <c r="C207" s="37" t="s">
        <v>481</v>
      </c>
      <c r="D207" s="38">
        <v>2630</v>
      </c>
      <c r="E207" s="39">
        <v>4</v>
      </c>
      <c r="F207" s="40" t="s">
        <v>482</v>
      </c>
    </row>
    <row r="208" spans="1:8" ht="30.6" customHeight="1" x14ac:dyDescent="0.3">
      <c r="A208" s="90"/>
      <c r="B208" s="91" t="s">
        <v>483</v>
      </c>
      <c r="C208" s="92" t="s">
        <v>484</v>
      </c>
      <c r="D208" s="93">
        <v>14440</v>
      </c>
      <c r="E208" s="94">
        <v>4</v>
      </c>
      <c r="F208" s="95" t="s">
        <v>485</v>
      </c>
    </row>
    <row r="209" spans="1:6" x14ac:dyDescent="0.3">
      <c r="A209" s="96"/>
      <c r="B209" s="97"/>
      <c r="C209" s="97"/>
      <c r="D209" s="97"/>
      <c r="E209" s="97"/>
      <c r="F209" s="98"/>
    </row>
    <row r="210" spans="1:6" x14ac:dyDescent="0.3">
      <c r="A210" s="96"/>
      <c r="B210" s="97"/>
      <c r="C210" s="97"/>
      <c r="D210" s="97"/>
      <c r="E210" s="97"/>
      <c r="F210" s="98"/>
    </row>
    <row r="211" spans="1:6" x14ac:dyDescent="0.3">
      <c r="A211" s="96"/>
      <c r="B211" s="97"/>
      <c r="C211" s="97"/>
      <c r="D211" s="97"/>
      <c r="E211" s="97"/>
      <c r="F211" s="98"/>
    </row>
    <row r="212" spans="1:6" x14ac:dyDescent="0.3">
      <c r="A212" s="96"/>
      <c r="B212" s="97"/>
      <c r="C212" s="97"/>
      <c r="D212" s="97"/>
      <c r="E212" s="97"/>
      <c r="F212" s="98"/>
    </row>
    <row r="213" spans="1:6" x14ac:dyDescent="0.3">
      <c r="A213" s="96"/>
      <c r="B213" s="97"/>
      <c r="C213" s="97"/>
      <c r="D213" s="97"/>
      <c r="E213" s="97"/>
      <c r="F213" s="98"/>
    </row>
    <row r="214" spans="1:6" x14ac:dyDescent="0.3">
      <c r="A214" s="96"/>
      <c r="B214" s="97"/>
      <c r="C214" s="97"/>
      <c r="D214" s="97"/>
      <c r="E214" s="97"/>
      <c r="F214" s="98"/>
    </row>
    <row r="215" spans="1:6" x14ac:dyDescent="0.3">
      <c r="A215" s="96"/>
      <c r="B215" s="97"/>
      <c r="C215" s="97"/>
      <c r="D215" s="97"/>
      <c r="E215" s="97"/>
      <c r="F215" s="98"/>
    </row>
    <row r="216" spans="1:6" x14ac:dyDescent="0.3">
      <c r="A216" s="96"/>
      <c r="B216" s="97"/>
      <c r="C216" s="97"/>
      <c r="D216" s="97"/>
      <c r="E216" s="97"/>
      <c r="F216" s="98"/>
    </row>
    <row r="217" spans="1:6" x14ac:dyDescent="0.3">
      <c r="A217" s="96"/>
      <c r="B217" s="97"/>
      <c r="C217" s="97"/>
      <c r="D217" s="97"/>
      <c r="E217" s="97"/>
      <c r="F217" s="98"/>
    </row>
    <row r="218" spans="1:6" x14ac:dyDescent="0.3">
      <c r="A218" s="96"/>
      <c r="B218" s="97"/>
      <c r="C218" s="97"/>
      <c r="D218" s="97"/>
      <c r="E218" s="97"/>
      <c r="F218" s="98"/>
    </row>
    <row r="219" spans="1:6" x14ac:dyDescent="0.3">
      <c r="A219" s="96"/>
      <c r="B219" s="97"/>
      <c r="C219" s="97"/>
      <c r="D219" s="97"/>
      <c r="E219" s="97"/>
      <c r="F219" s="98"/>
    </row>
    <row r="220" spans="1:6" x14ac:dyDescent="0.3">
      <c r="A220" s="96"/>
      <c r="B220" s="97"/>
      <c r="C220" s="97"/>
      <c r="D220" s="97"/>
      <c r="E220" s="97"/>
      <c r="F220" s="98"/>
    </row>
    <row r="221" spans="1:6" x14ac:dyDescent="0.3">
      <c r="A221" s="96"/>
      <c r="B221" s="97"/>
      <c r="C221" s="97"/>
      <c r="D221" s="97"/>
      <c r="E221" s="97"/>
      <c r="F221" s="98"/>
    </row>
    <row r="222" spans="1:6" x14ac:dyDescent="0.3">
      <c r="A222" s="96"/>
      <c r="B222" s="97"/>
      <c r="C222" s="97"/>
      <c r="D222" s="97"/>
      <c r="E222" s="97"/>
      <c r="F222" s="98"/>
    </row>
    <row r="223" spans="1:6" x14ac:dyDescent="0.3">
      <c r="A223" s="96"/>
      <c r="B223" s="97"/>
      <c r="C223" s="97"/>
      <c r="D223" s="97"/>
      <c r="E223" s="97"/>
      <c r="F223" s="98"/>
    </row>
    <row r="224" spans="1:6" x14ac:dyDescent="0.3">
      <c r="A224" s="96"/>
      <c r="B224" s="97"/>
      <c r="C224" s="97"/>
      <c r="D224" s="97"/>
      <c r="E224" s="97"/>
      <c r="F224" s="98"/>
    </row>
    <row r="225" spans="1:6" x14ac:dyDescent="0.3">
      <c r="A225" s="96"/>
      <c r="B225" s="97"/>
      <c r="C225" s="97"/>
      <c r="D225" s="97"/>
      <c r="E225" s="97"/>
      <c r="F225" s="98"/>
    </row>
    <row r="226" spans="1:6" x14ac:dyDescent="0.3">
      <c r="A226" s="96"/>
      <c r="B226" s="97"/>
      <c r="C226" s="97"/>
      <c r="D226" s="97"/>
      <c r="E226" s="97"/>
      <c r="F226" s="98"/>
    </row>
    <row r="227" spans="1:6" x14ac:dyDescent="0.3">
      <c r="A227" s="96"/>
      <c r="B227" s="97"/>
      <c r="C227" s="97"/>
      <c r="D227" s="97"/>
      <c r="E227" s="97"/>
      <c r="F227" s="98"/>
    </row>
    <row r="228" spans="1:6" x14ac:dyDescent="0.3">
      <c r="A228" s="96"/>
      <c r="B228" s="97"/>
      <c r="C228" s="97"/>
      <c r="D228" s="97"/>
      <c r="E228" s="97"/>
      <c r="F228" s="98"/>
    </row>
    <row r="229" spans="1:6" x14ac:dyDescent="0.3">
      <c r="A229" s="96"/>
      <c r="B229" s="97"/>
      <c r="C229" s="97"/>
      <c r="D229" s="97"/>
      <c r="E229" s="97"/>
      <c r="F229" s="98"/>
    </row>
    <row r="230" spans="1:6" x14ac:dyDescent="0.3">
      <c r="A230" s="96"/>
      <c r="B230" s="97"/>
      <c r="C230" s="97"/>
      <c r="D230" s="97"/>
      <c r="E230" s="97"/>
      <c r="F230" s="98"/>
    </row>
    <row r="231" spans="1:6" x14ac:dyDescent="0.3">
      <c r="A231" s="96"/>
      <c r="B231" s="97"/>
      <c r="C231" s="97"/>
      <c r="D231" s="97"/>
      <c r="E231" s="97"/>
      <c r="F231" s="98"/>
    </row>
    <row r="232" spans="1:6" x14ac:dyDescent="0.3">
      <c r="A232" s="96"/>
      <c r="B232" s="97"/>
      <c r="C232" s="97"/>
      <c r="D232" s="97"/>
      <c r="E232" s="97"/>
      <c r="F232" s="98"/>
    </row>
    <row r="233" spans="1:6" x14ac:dyDescent="0.3">
      <c r="A233" s="96"/>
      <c r="B233" s="97"/>
      <c r="C233" s="97"/>
      <c r="D233" s="97"/>
      <c r="E233" s="97"/>
      <c r="F233" s="98"/>
    </row>
    <row r="234" spans="1:6" x14ac:dyDescent="0.3">
      <c r="A234" s="96"/>
      <c r="B234" s="97"/>
      <c r="C234" s="97"/>
      <c r="D234" s="97"/>
      <c r="E234" s="97"/>
      <c r="F234" s="98"/>
    </row>
    <row r="235" spans="1:6" x14ac:dyDescent="0.3">
      <c r="A235" s="96"/>
      <c r="B235" s="97"/>
      <c r="C235" s="97"/>
      <c r="D235" s="97"/>
      <c r="E235" s="97"/>
      <c r="F235" s="98"/>
    </row>
    <row r="236" spans="1:6" ht="22.5" customHeight="1" x14ac:dyDescent="0.3">
      <c r="A236" s="96"/>
      <c r="B236" s="97"/>
      <c r="C236" s="97"/>
      <c r="D236" s="97"/>
      <c r="E236" s="97"/>
      <c r="F236" s="98"/>
    </row>
    <row r="237" spans="1:6" x14ac:dyDescent="0.3">
      <c r="A237" s="96"/>
      <c r="B237" s="97"/>
      <c r="C237" s="97"/>
      <c r="D237" s="97"/>
      <c r="E237" s="97"/>
      <c r="F237" s="98"/>
    </row>
    <row r="238" spans="1:6" x14ac:dyDescent="0.3">
      <c r="A238" s="96"/>
      <c r="B238" s="97"/>
      <c r="C238" s="97"/>
      <c r="D238" s="97"/>
      <c r="E238" s="97"/>
      <c r="F238" s="98"/>
    </row>
    <row r="239" spans="1:6" x14ac:dyDescent="0.3">
      <c r="A239" s="99"/>
      <c r="B239" s="100"/>
      <c r="C239" s="100"/>
      <c r="D239" s="100"/>
      <c r="E239" s="100"/>
      <c r="F239" s="101"/>
    </row>
  </sheetData>
  <autoFilter ref="A3:I203" xr:uid="{00000000-0009-0000-0000-000000000000}"/>
  <mergeCells count="6">
    <mergeCell ref="B199:C199"/>
    <mergeCell ref="A2:B2"/>
    <mergeCell ref="B4:C4"/>
    <mergeCell ref="B5:C5"/>
    <mergeCell ref="B135:C135"/>
    <mergeCell ref="B186:C186"/>
  </mergeCells>
  <phoneticPr fontId="1" type="noConversion"/>
  <printOptions horizontalCentered="1"/>
  <pageMargins left="1.1417322834645669" right="1.1417322834645669" top="1.7322834645669292" bottom="1.7322834645669292" header="0.31496062992125984" footer="0.31496062992125984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자동차전용도로현황(고속국도제외)</vt:lpstr>
      <vt:lpstr>'자동차전용도로현황(고속국도제외)'!Print_Area</vt:lpstr>
      <vt:lpstr>'자동차전용도로현황(고속국도제외)'!Print_Titles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2025-07-04T04:14:00Z</dcterms:modified>
</cp:coreProperties>
</file>