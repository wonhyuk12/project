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\국토교통부\2025년\07월\2024 도로현황조서\02. 총괄\"/>
    </mc:Choice>
  </mc:AlternateContent>
  <bookViews>
    <workbookView xWindow="-120" yWindow="-120" windowWidth="29040" windowHeight="15720"/>
  </bookViews>
  <sheets>
    <sheet name="전국 유료도로 현황(전체 현황)" sheetId="1" r:id="rId1"/>
    <sheet name="전국 유료도로 현황(구간별 현황)" sheetId="3" r:id="rId2"/>
  </sheets>
  <definedNames>
    <definedName name="_xlnm.Print_Area" localSheetId="1">'전국 유료도로 현황(구간별 현황)'!$A$1:$F$38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C4" i="1" l="1"/>
</calcChain>
</file>

<file path=xl/sharedStrings.xml><?xml version="1.0" encoding="utf-8"?>
<sst xmlns="http://schemas.openxmlformats.org/spreadsheetml/2006/main" count="138" uniqueCount="136">
  <si>
    <t>구분</t>
    <phoneticPr fontId="3" type="noConversion"/>
  </si>
  <si>
    <t>노선·구간</t>
    <phoneticPr fontId="3" type="noConversion"/>
  </si>
  <si>
    <t>연장(km)</t>
    <phoneticPr fontId="3" type="noConversion"/>
  </si>
  <si>
    <t>비고</t>
    <phoneticPr fontId="6" type="noConversion"/>
  </si>
  <si>
    <t>계</t>
  </si>
  <si>
    <t>고속도로
(한국도로공사)</t>
  </si>
  <si>
    <t>민자고속도로</t>
    <phoneticPr fontId="6" type="noConversion"/>
  </si>
  <si>
    <t>지자체 등 관리도로</t>
  </si>
  <si>
    <t>관리 및 지역</t>
    <phoneticPr fontId="3" type="noConversion"/>
  </si>
  <si>
    <t>구간</t>
    <phoneticPr fontId="3" type="noConversion"/>
  </si>
  <si>
    <t>개통일자</t>
    <phoneticPr fontId="3" type="noConversion"/>
  </si>
  <si>
    <t>연장</t>
    <phoneticPr fontId="3" type="noConversion"/>
  </si>
  <si>
    <t>징수기간</t>
    <phoneticPr fontId="7" type="noConversion"/>
  </si>
  <si>
    <t>소  계</t>
    <phoneticPr fontId="3" type="noConversion"/>
  </si>
  <si>
    <t>서울특별시</t>
  </si>
  <si>
    <t>우면산터널</t>
  </si>
  <si>
    <t>'04.01</t>
  </si>
  <si>
    <t>용마터널</t>
  </si>
  <si>
    <t>'14.11</t>
  </si>
  <si>
    <t>강남순환로</t>
  </si>
  <si>
    <t>'16.07</t>
  </si>
  <si>
    <t>부산광역시</t>
  </si>
  <si>
    <t>광안대로</t>
  </si>
  <si>
    <t>'03.06</t>
  </si>
  <si>
    <t>백양터널</t>
  </si>
  <si>
    <t>'00.01</t>
  </si>
  <si>
    <t>수정산터널</t>
  </si>
  <si>
    <t>'02.04</t>
  </si>
  <si>
    <t>을숙도대교</t>
  </si>
  <si>
    <t>'10.02</t>
  </si>
  <si>
    <t>'10.12</t>
  </si>
  <si>
    <t>부산항대교</t>
  </si>
  <si>
    <t>'14.08</t>
  </si>
  <si>
    <t>산성터널</t>
  </si>
  <si>
    <t>'18.10</t>
  </si>
  <si>
    <t>대구광역시</t>
  </si>
  <si>
    <t>범안로</t>
  </si>
  <si>
    <t>'02.09</t>
  </si>
  <si>
    <t>앞산터널로</t>
  </si>
  <si>
    <t>'13.06</t>
  </si>
  <si>
    <t>인천광역시</t>
  </si>
  <si>
    <t>원적산터널</t>
  </si>
  <si>
    <t>'04.07</t>
  </si>
  <si>
    <t>만월산터널</t>
  </si>
  <si>
    <t>'05.07</t>
  </si>
  <si>
    <t>광주광역시</t>
  </si>
  <si>
    <t>'00.11</t>
  </si>
  <si>
    <t>'04.10</t>
  </si>
  <si>
    <t>'07.05</t>
  </si>
  <si>
    <t>대전광역시</t>
  </si>
  <si>
    <t>천변도시고속화도로</t>
  </si>
  <si>
    <t>'04.09</t>
  </si>
  <si>
    <t>울산광역시</t>
  </si>
  <si>
    <t>울산대교</t>
  </si>
  <si>
    <t>'15.06</t>
  </si>
  <si>
    <t>일산대교</t>
  </si>
  <si>
    <t>'08.05</t>
  </si>
  <si>
    <t>제3경인 고속화도로</t>
  </si>
  <si>
    <t>'10.08</t>
  </si>
  <si>
    <t>'11.09</t>
  </si>
  <si>
    <t>'17.04</t>
  </si>
  <si>
    <t>비봉~매송 고속화도로</t>
  </si>
  <si>
    <t>'17.07</t>
  </si>
  <si>
    <t>미시령터널</t>
  </si>
  <si>
    <t>'06.07</t>
  </si>
  <si>
    <t>경상남도</t>
  </si>
  <si>
    <t>마창대교</t>
  </si>
  <si>
    <t>'08.07</t>
  </si>
  <si>
    <t>'15.12</t>
  </si>
  <si>
    <t>팔룡터널</t>
  </si>
  <si>
    <t>'18.11</t>
  </si>
  <si>
    <t>1) 전국 유료도로 현황(전체 현황)</t>
    <phoneticPr fontId="3" type="noConversion"/>
  </si>
  <si>
    <t>2) 지자체 등 관리도로(고속도로 및 민자고속도로 제외)</t>
  </si>
  <si>
    <t xml:space="preserve">     ( 단위 : km )</t>
    <phoneticPr fontId="3" type="noConversion"/>
  </si>
  <si>
    <t>34개 구간</t>
  </si>
  <si>
    <t>34개 구간</t>
    <phoneticPr fontId="6" type="noConversion"/>
  </si>
  <si>
    <t>'04.01~'34.01</t>
  </si>
  <si>
    <t>'14.11~'44.11</t>
  </si>
  <si>
    <t>'16.07~'46.07</t>
  </si>
  <si>
    <t>신월여의지하도로</t>
  </si>
  <si>
    <t>'21.04</t>
  </si>
  <si>
    <t>'21.04~'51.04</t>
  </si>
  <si>
    <t>서부간선지하도로</t>
  </si>
  <si>
    <t>'21.09</t>
  </si>
  <si>
    <t>'21.09~'51.09</t>
  </si>
  <si>
    <t>'03.06~'28.05</t>
  </si>
  <si>
    <t>'00.01~'25.01</t>
  </si>
  <si>
    <t>'02.04~'27.04</t>
  </si>
  <si>
    <t>'10.02~'40.01</t>
  </si>
  <si>
    <t>'14.08~'44.08</t>
  </si>
  <si>
    <t>'18.10~'48.09</t>
  </si>
  <si>
    <t>천마터널</t>
  </si>
  <si>
    <t>'19.04</t>
  </si>
  <si>
    <t>'19.04~'49.03</t>
  </si>
  <si>
    <t>'02.09~'26.08</t>
  </si>
  <si>
    <t>'13.06~'39.06</t>
  </si>
  <si>
    <t>'04.07~'34.07</t>
  </si>
  <si>
    <t>'05.07~'35.07</t>
  </si>
  <si>
    <t>'01.01~'28.12</t>
  </si>
  <si>
    <t>'04.12~'34.11</t>
  </si>
  <si>
    <t>'07.07~'34.04</t>
  </si>
  <si>
    <t>'04.09~'31.12</t>
  </si>
  <si>
    <t>'15.06~'45.06</t>
  </si>
  <si>
    <t>경기도</t>
  </si>
  <si>
    <t>'08.05~'38.05</t>
  </si>
  <si>
    <t>'10.08~'40.07</t>
  </si>
  <si>
    <t>'11.09~'41.08</t>
  </si>
  <si>
    <t>'13.02</t>
  </si>
  <si>
    <t>'13.02~'42.01</t>
  </si>
  <si>
    <t>'17.04~'47.04</t>
  </si>
  <si>
    <t>'17.07~'47.07</t>
  </si>
  <si>
    <t>수원북부순환로</t>
  </si>
  <si>
    <t>'20.09</t>
  </si>
  <si>
    <t>'20.09~'50.09</t>
  </si>
  <si>
    <t>'06.07~'36.07</t>
  </si>
  <si>
    <t>'08.07~'38.07</t>
  </si>
  <si>
    <t>거가대교</t>
  </si>
  <si>
    <t>'11.01~'50.12</t>
  </si>
  <si>
    <t>창원 ~ 부산간 도로</t>
  </si>
  <si>
    <t>'13.11~'45.12</t>
  </si>
  <si>
    <t>'18.11~'47.10</t>
  </si>
  <si>
    <t>2024.12.31 기준</t>
    <phoneticPr fontId="6" type="noConversion"/>
  </si>
  <si>
    <t>지개 ~ 남산간 연결도로</t>
  </si>
  <si>
    <t>'21.07</t>
  </si>
  <si>
    <t>'21.08~'51.08</t>
  </si>
  <si>
    <t>92개</t>
    <phoneticPr fontId="2" type="noConversion"/>
  </si>
  <si>
    <t>35개 노선</t>
  </si>
  <si>
    <t>23개 노선</t>
  </si>
  <si>
    <t>2024년 일평균
교통량(대)</t>
    <phoneticPr fontId="3" type="noConversion"/>
  </si>
  <si>
    <t>강원특별자치도</t>
    <phoneticPr fontId="6" type="noConversion"/>
  </si>
  <si>
    <t>광주시제2순환도로
두암IC ~ 소태IC</t>
    <phoneticPr fontId="6" type="noConversion"/>
  </si>
  <si>
    <t>광주시제2순환도로
효덕IC ~ 풍암동</t>
    <phoneticPr fontId="6" type="noConversion"/>
  </si>
  <si>
    <t>광주시제2순환도로
서창IC ~ 신가지구</t>
    <phoneticPr fontId="6" type="noConversion"/>
  </si>
  <si>
    <t>경기도(남양주) 수석~
호평 도시고속도로</t>
    <phoneticPr fontId="6" type="noConversion"/>
  </si>
  <si>
    <t>서수원 ~ 의왕
고속화도로</t>
    <phoneticPr fontId="6" type="noConversion"/>
  </si>
  <si>
    <t>경기도(남양주) 덕송~
내각 고속화도로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</si>
</sst>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#,##0.0"/>
    <numFmt numFmtId="177" formatCode="#,##0.00;&quot;&quot;;"/>
    <numFmt numFmtId="178" formatCode="#,##0.0;&quot;&quot;;"/>
    <numFmt numFmtId="179" formatCode="#,##0.00_ "/>
    <numFmt numFmtId="180" formatCode="#,##0;&quot;&quot;;"/>
  </numFmts>
  <fonts count="15" x14ac:knownFonts="1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24"/>
      <name val="돋움"/>
      <family val="3"/>
      <charset val="129"/>
    </font>
    <font>
      <sz val="9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6"/>
      <color theme="1"/>
      <name val="맑은 고딕"/>
      <family val="2"/>
      <scheme val="minor"/>
    </font>
    <font>
      <b/>
      <sz val="14"/>
      <name val="돋움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6"/>
      <color theme="1"/>
      <name val="돋움"/>
      <family val="3"/>
      <charset val="129"/>
    </font>
    <font>
      <sz val="16"/>
      <color theme="1"/>
      <name val="돋움"/>
      <family val="3"/>
      <charset val="129"/>
    </font>
    <font>
      <b/>
      <sz val="9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4" fillId="0" borderId="0" xfId="1" applyFont="1" applyAlignment="1">
      <alignment horizontal="centerContinuous" vertical="top"/>
    </xf>
    <xf numFmtId="3" fontId="4" fillId="0" borderId="0" xfId="1" applyNumberFormat="1" applyFont="1" applyAlignment="1">
      <alignment horizontal="centerContinuous" vertical="top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distributed" vertical="center" indent="1"/>
    </xf>
    <xf numFmtId="0" fontId="5" fillId="0" borderId="0" xfId="1" quotePrefix="1" applyFont="1" applyAlignment="1">
      <alignment horizontal="center" vertical="center"/>
    </xf>
    <xf numFmtId="177" fontId="5" fillId="0" borderId="0" xfId="1" applyNumberFormat="1" applyFont="1" applyAlignment="1">
      <alignment vertical="center"/>
    </xf>
    <xf numFmtId="0" fontId="5" fillId="0" borderId="0" xfId="1" quotePrefix="1" applyFont="1" applyAlignment="1">
      <alignment horizontal="center" vertical="center" wrapText="1"/>
    </xf>
    <xf numFmtId="179" fontId="0" fillId="0" borderId="0" xfId="0" applyNumberFormat="1"/>
    <xf numFmtId="0" fontId="0" fillId="3" borderId="0" xfId="0" applyFill="1"/>
    <xf numFmtId="0" fontId="8" fillId="0" borderId="0" xfId="0" applyFont="1" applyAlignment="1">
      <alignment vertical="top"/>
    </xf>
    <xf numFmtId="0" fontId="9" fillId="0" borderId="0" xfId="1" applyFont="1" applyAlignment="1">
      <alignment horizontal="left" vertical="top"/>
    </xf>
    <xf numFmtId="0" fontId="10" fillId="0" borderId="8" xfId="1" quotePrefix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center" vertical="center"/>
    </xf>
    <xf numFmtId="0" fontId="12" fillId="0" borderId="0" xfId="1" applyFont="1" applyAlignment="1">
      <alignment horizontal="left" vertical="top"/>
    </xf>
    <xf numFmtId="0" fontId="13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distributed" vertical="center"/>
    </xf>
    <xf numFmtId="0" fontId="10" fillId="0" borderId="0" xfId="1" applyFont="1" applyAlignment="1">
      <alignment horizontal="right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3" fontId="10" fillId="0" borderId="2" xfId="1" applyNumberFormat="1" applyFont="1" applyBorder="1" applyAlignment="1">
      <alignment horizontal="center" vertical="center"/>
    </xf>
    <xf numFmtId="3" fontId="10" fillId="0" borderId="3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178" fontId="14" fillId="0" borderId="5" xfId="1" applyNumberFormat="1" applyFont="1" applyBorder="1" applyAlignment="1">
      <alignment horizontal="right" vertical="center" indent="1"/>
    </xf>
    <xf numFmtId="177" fontId="14" fillId="0" borderId="6" xfId="1" applyNumberFormat="1" applyFont="1" applyBorder="1" applyAlignment="1">
      <alignment horizontal="right" vertical="center"/>
    </xf>
    <xf numFmtId="0" fontId="10" fillId="0" borderId="7" xfId="1" applyFont="1" applyBorder="1" applyAlignment="1">
      <alignment horizontal="distributed" vertical="center" indent="1"/>
    </xf>
    <xf numFmtId="0" fontId="10" fillId="0" borderId="8" xfId="1" applyFont="1" applyBorder="1" applyAlignment="1">
      <alignment horizontal="distributed" vertical="center" indent="1"/>
    </xf>
    <xf numFmtId="178" fontId="10" fillId="0" borderId="8" xfId="1" applyNumberFormat="1" applyFont="1" applyBorder="1" applyAlignment="1">
      <alignment horizontal="right" vertical="center" indent="1"/>
    </xf>
    <xf numFmtId="180" fontId="10" fillId="0" borderId="9" xfId="1" applyNumberFormat="1" applyFont="1" applyBorder="1" applyAlignment="1">
      <alignment horizontal="right" vertical="center"/>
    </xf>
    <xf numFmtId="0" fontId="10" fillId="0" borderId="4" xfId="1" applyFont="1" applyBorder="1" applyAlignment="1">
      <alignment horizontal="distributed" vertical="center" indent="1"/>
    </xf>
    <xf numFmtId="0" fontId="10" fillId="0" borderId="5" xfId="1" applyFont="1" applyBorder="1" applyAlignment="1">
      <alignment horizontal="distributed" vertical="center" indent="1"/>
    </xf>
    <xf numFmtId="178" fontId="10" fillId="0" borderId="5" xfId="1" applyNumberFormat="1" applyFont="1" applyBorder="1" applyAlignment="1">
      <alignment horizontal="right" vertical="center" indent="1"/>
    </xf>
    <xf numFmtId="180" fontId="10" fillId="0" borderId="6" xfId="1" applyNumberFormat="1" applyFont="1" applyBorder="1" applyAlignment="1">
      <alignment horizontal="right" vertical="center"/>
    </xf>
    <xf numFmtId="0" fontId="10" fillId="0" borderId="10" xfId="1" applyFont="1" applyBorder="1" applyAlignment="1">
      <alignment horizontal="distributed" vertical="center" indent="1"/>
    </xf>
    <xf numFmtId="0" fontId="10" fillId="0" borderId="11" xfId="1" applyFont="1" applyBorder="1" applyAlignment="1">
      <alignment horizontal="distributed" vertical="center" indent="1"/>
    </xf>
    <xf numFmtId="0" fontId="10" fillId="0" borderId="11" xfId="1" quotePrefix="1" applyFont="1" applyBorder="1" applyAlignment="1">
      <alignment horizontal="center" vertical="center"/>
    </xf>
    <xf numFmtId="178" fontId="10" fillId="0" borderId="11" xfId="1" applyNumberFormat="1" applyFont="1" applyBorder="1" applyAlignment="1">
      <alignment horizontal="right" vertical="center" indent="1"/>
    </xf>
    <xf numFmtId="180" fontId="10" fillId="0" borderId="12" xfId="1" applyNumberFormat="1" applyFont="1" applyBorder="1" applyAlignment="1">
      <alignment horizontal="right" vertical="center"/>
    </xf>
    <xf numFmtId="0" fontId="10" fillId="0" borderId="5" xfId="1" applyFont="1" applyBorder="1" applyAlignment="1">
      <alignment horizontal="distributed" vertical="center" wrapText="1" indent="1"/>
    </xf>
    <xf numFmtId="0" fontId="10" fillId="0" borderId="4" xfId="1" applyFont="1" applyBorder="1" applyAlignment="1">
      <alignment horizontal="distributed" vertical="center" wrapText="1" indent="1"/>
    </xf>
    <xf numFmtId="0" fontId="10" fillId="0" borderId="7" xfId="1" applyFont="1" applyBorder="1" applyAlignment="1">
      <alignment horizontal="distributed" vertical="center" wrapText="1" indent="1"/>
    </xf>
    <xf numFmtId="0" fontId="10" fillId="0" borderId="14" xfId="1" quotePrefix="1" applyFont="1" applyBorder="1" applyAlignment="1">
      <alignment horizontal="center" vertical="center"/>
    </xf>
    <xf numFmtId="178" fontId="10" fillId="0" borderId="14" xfId="1" applyNumberFormat="1" applyFont="1" applyBorder="1" applyAlignment="1">
      <alignment horizontal="right" vertical="center" indent="1"/>
    </xf>
    <xf numFmtId="180" fontId="10" fillId="0" borderId="15" xfId="1" applyNumberFormat="1" applyFont="1" applyBorder="1" applyAlignment="1">
      <alignment horizontal="right" vertical="center"/>
    </xf>
    <xf numFmtId="0" fontId="10" fillId="0" borderId="13" xfId="1" applyFont="1" applyBorder="1" applyAlignment="1">
      <alignment horizontal="distributed" vertical="center" wrapText="1" indent="1"/>
    </xf>
    <xf numFmtId="0" fontId="10" fillId="0" borderId="14" xfId="1" applyFont="1" applyBorder="1" applyAlignment="1">
      <alignment horizontal="distributed" vertical="center" wrapText="1" indent="1"/>
    </xf>
    <xf numFmtId="0" fontId="11" fillId="0" borderId="24" xfId="0" applyFont="1" applyBorder="1"/>
    <xf numFmtId="0" fontId="10" fillId="0" borderId="16" xfId="1" applyFont="1" applyBorder="1" applyAlignment="1">
      <alignment horizontal="distributed" vertical="center" indent="1"/>
    </xf>
    <xf numFmtId="0" fontId="10" fillId="0" borderId="16" xfId="1" quotePrefix="1" applyFont="1" applyBorder="1" applyAlignment="1">
      <alignment horizontal="center" vertical="center"/>
    </xf>
    <xf numFmtId="178" fontId="10" fillId="0" borderId="16" xfId="1" applyNumberFormat="1" applyFont="1" applyBorder="1" applyAlignment="1">
      <alignment horizontal="right" vertical="center" indent="1"/>
    </xf>
    <xf numFmtId="180" fontId="10" fillId="0" borderId="17" xfId="1" applyNumberFormat="1" applyFont="1" applyBorder="1" applyAlignment="1">
      <alignment horizontal="right" vertical="center"/>
    </xf>
    <xf numFmtId="0" fontId="10" fillId="0" borderId="0" xfId="1" applyFont="1" applyAlignment="1">
      <alignment horizontal="left" vertical="center"/>
    </xf>
    <xf numFmtId="0" fontId="10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176" fontId="10" fillId="2" borderId="11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/>
    </xf>
    <xf numFmtId="176" fontId="10" fillId="0" borderId="14" xfId="1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6" fontId="10" fillId="0" borderId="19" xfId="1" applyNumberFormat="1" applyFont="1" applyBorder="1" applyAlignment="1">
      <alignment horizontal="center" vertical="center"/>
    </xf>
    <xf numFmtId="0" fontId="10" fillId="0" borderId="8" xfId="1" applyFont="1" applyBorder="1" applyAlignment="1">
      <alignment horizontal="distributed" vertical="center" wrapText="1" indent="1"/>
    </xf>
    <xf numFmtId="0" fontId="10" fillId="0" borderId="13" xfId="1" applyFont="1" applyBorder="1" applyAlignment="1">
      <alignment horizontal="distributed" vertical="center" indent="1"/>
    </xf>
    <xf numFmtId="0" fontId="10" fillId="0" borderId="2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0" borderId="19" xfId="1" quotePrefix="1" applyFont="1" applyBorder="1" applyAlignment="1">
      <alignment horizontal="center" vertical="center"/>
    </xf>
    <xf numFmtId="0" fontId="10" fillId="0" borderId="20" xfId="1" quotePrefix="1" applyFont="1" applyBorder="1" applyAlignment="1">
      <alignment horizontal="center" vertical="center"/>
    </xf>
    <xf numFmtId="0" fontId="10" fillId="0" borderId="14" xfId="1" quotePrefix="1" applyFont="1" applyBorder="1" applyAlignment="1">
      <alignment vertical="center" wrapText="1"/>
    </xf>
    <xf numFmtId="0" fontId="10" fillId="0" borderId="14" xfId="1" applyFont="1" applyBorder="1" applyAlignment="1">
      <alignment vertical="center"/>
    </xf>
    <xf numFmtId="0" fontId="10" fillId="0" borderId="15" xfId="1" applyFont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G18"/>
  <sheetViews>
    <sheetView tabSelected="1" topLeftCell="A7" zoomScaleNormal="100" workbookViewId="0">
      <selection activeCell="A9" sqref="A9"/>
    </sheetView>
  </sheetViews>
  <sheetFormatPr defaultRowHeight="16.5" x14ac:dyDescent="0.3"/>
  <cols>
    <col min="1" max="1" width="16.875" customWidth="1"/>
    <col min="2" max="2" width="12.375" customWidth="1"/>
    <col min="3" max="3" width="8" customWidth="1"/>
    <col min="4" max="4" width="4.5" customWidth="1"/>
    <col min="7" max="7" width="11" customWidth="1"/>
  </cols>
  <sheetData>
    <row r="1" spans="1:7" ht="33.75" customHeight="1" x14ac:dyDescent="0.3">
      <c r="A1" s="11" t="s">
        <v>71</v>
      </c>
      <c r="B1" s="1"/>
      <c r="C1" s="1"/>
      <c r="D1" s="1"/>
      <c r="E1" s="1"/>
      <c r="F1" s="1"/>
      <c r="G1" s="2"/>
    </row>
    <row r="2" spans="1:7" x14ac:dyDescent="0.3">
      <c r="A2" s="54" t="s">
        <v>121</v>
      </c>
      <c r="B2" s="16"/>
      <c r="C2" s="17"/>
      <c r="D2" s="18"/>
      <c r="E2" s="18"/>
      <c r="F2" s="18"/>
      <c r="G2" s="19" t="s">
        <v>73</v>
      </c>
    </row>
    <row r="3" spans="1:7" ht="24.95" customHeight="1" thickBot="1" x14ac:dyDescent="0.35">
      <c r="A3" s="55" t="s">
        <v>0</v>
      </c>
      <c r="B3" s="56" t="s">
        <v>1</v>
      </c>
      <c r="C3" s="57" t="s">
        <v>2</v>
      </c>
      <c r="D3" s="70" t="s">
        <v>3</v>
      </c>
      <c r="E3" s="70"/>
      <c r="F3" s="70"/>
      <c r="G3" s="71"/>
    </row>
    <row r="4" spans="1:7" ht="50.1" customHeight="1" thickTop="1" x14ac:dyDescent="0.3">
      <c r="A4" s="58" t="s">
        <v>4</v>
      </c>
      <c r="B4" s="59" t="s">
        <v>125</v>
      </c>
      <c r="C4" s="60">
        <f>SUM(C5:C7)</f>
        <v>5376.8</v>
      </c>
      <c r="D4" s="72"/>
      <c r="E4" s="72"/>
      <c r="F4" s="72"/>
      <c r="G4" s="73"/>
    </row>
    <row r="5" spans="1:7" ht="50.1" customHeight="1" x14ac:dyDescent="0.3">
      <c r="A5" s="61" t="s">
        <v>5</v>
      </c>
      <c r="B5" s="62" t="s">
        <v>126</v>
      </c>
      <c r="C5" s="63">
        <v>4168.2</v>
      </c>
      <c r="D5" s="76"/>
      <c r="E5" s="77"/>
      <c r="F5" s="77"/>
      <c r="G5" s="78"/>
    </row>
    <row r="6" spans="1:7" ht="50.1" customHeight="1" x14ac:dyDescent="0.3">
      <c r="A6" s="61" t="s">
        <v>6</v>
      </c>
      <c r="B6" s="64" t="s">
        <v>127</v>
      </c>
      <c r="C6" s="63">
        <v>977</v>
      </c>
      <c r="D6" s="77"/>
      <c r="E6" s="77"/>
      <c r="F6" s="77"/>
      <c r="G6" s="78"/>
    </row>
    <row r="7" spans="1:7" ht="50.1" customHeight="1" x14ac:dyDescent="0.3">
      <c r="A7" s="65" t="s">
        <v>7</v>
      </c>
      <c r="B7" s="66" t="s">
        <v>74</v>
      </c>
      <c r="C7" s="67">
        <v>231.6</v>
      </c>
      <c r="D7" s="74"/>
      <c r="E7" s="74"/>
      <c r="F7" s="74"/>
      <c r="G7" s="75"/>
    </row>
    <row r="8" spans="1:7" x14ac:dyDescent="0.3">
      <c r="A8" s="3"/>
      <c r="B8" s="4"/>
      <c r="C8" s="4"/>
      <c r="D8" s="5"/>
      <c r="E8" s="6"/>
      <c r="F8" s="5"/>
      <c r="G8" s="6"/>
    </row>
    <row r="9" spans="1:7" x14ac:dyDescent="0.3">
      <c r="A9" s="3"/>
      <c r="B9" s="4"/>
      <c r="C9" s="4"/>
      <c r="D9" s="5"/>
      <c r="E9" s="6"/>
      <c r="F9" s="5"/>
      <c r="G9" s="6"/>
    </row>
    <row r="10" spans="1:7" x14ac:dyDescent="0.3">
      <c r="A10" s="3"/>
      <c r="B10" s="4"/>
      <c r="C10" s="4"/>
      <c r="D10" s="5"/>
      <c r="E10" s="6"/>
      <c r="F10" s="5"/>
      <c r="G10" s="6"/>
    </row>
    <row r="11" spans="1:7" x14ac:dyDescent="0.3">
      <c r="A11" s="3"/>
      <c r="B11" s="4"/>
      <c r="C11" s="4"/>
      <c r="D11" s="5"/>
      <c r="E11" s="6"/>
      <c r="F11" s="5"/>
      <c r="G11" s="6"/>
    </row>
    <row r="12" spans="1:7" x14ac:dyDescent="0.3">
      <c r="A12" s="3"/>
      <c r="B12" s="4"/>
      <c r="C12" s="4"/>
      <c r="D12" s="7"/>
      <c r="E12" s="6"/>
      <c r="F12" s="7"/>
      <c r="G12" s="6"/>
    </row>
    <row r="13" spans="1:7" x14ac:dyDescent="0.3">
      <c r="A13" s="3"/>
      <c r="B13" s="4"/>
      <c r="C13" s="4"/>
      <c r="D13" s="5"/>
      <c r="E13" s="6"/>
      <c r="F13" s="5"/>
      <c r="G13" s="6"/>
    </row>
    <row r="14" spans="1:7" x14ac:dyDescent="0.3">
      <c r="A14" s="3"/>
      <c r="B14" s="4"/>
      <c r="C14" s="4"/>
      <c r="D14" s="5"/>
      <c r="E14" s="6"/>
      <c r="F14" s="5"/>
      <c r="G14" s="6"/>
    </row>
    <row r="15" spans="1:7" x14ac:dyDescent="0.3">
      <c r="A15" s="3"/>
      <c r="B15" s="4"/>
      <c r="C15" s="4"/>
      <c r="D15" s="5"/>
      <c r="E15" s="6"/>
      <c r="F15" s="5"/>
      <c r="G15" s="6"/>
    </row>
    <row r="16" spans="1:7" x14ac:dyDescent="0.3">
      <c r="A16" s="3"/>
      <c r="B16" s="4"/>
      <c r="C16" s="4"/>
      <c r="D16" s="5"/>
      <c r="E16" s="6"/>
      <c r="F16" s="5"/>
      <c r="G16" s="6"/>
    </row>
    <row r="17" spans="1:7" x14ac:dyDescent="0.3">
      <c r="A17" s="3"/>
      <c r="B17" s="4"/>
      <c r="C17" s="4"/>
      <c r="D17" s="5"/>
      <c r="E17" s="6"/>
      <c r="F17" s="5"/>
      <c r="G17" s="6"/>
    </row>
    <row r="18" spans="1:7" x14ac:dyDescent="0.3">
      <c r="A18" s="3"/>
      <c r="B18" s="4"/>
      <c r="C18" s="4"/>
      <c r="D18" s="5"/>
      <c r="E18" s="6"/>
      <c r="F18" s="5"/>
      <c r="G18" s="6"/>
    </row>
  </sheetData>
  <mergeCells count="4">
    <mergeCell ref="D3:G3"/>
    <mergeCell ref="D4:G4"/>
    <mergeCell ref="D7:G7"/>
    <mergeCell ref="D5:G6"/>
  </mergeCells>
  <phoneticPr fontId="2" type="noConversion"/>
  <printOptions horizontalCentered="1"/>
  <pageMargins left="1.1417322834645669" right="1.1417322834645669" top="1.7322834645669292" bottom="1.7322834645669292" header="0.31496062992125984" footer="0.31496062992125984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view="pageBreakPreview" zoomScale="115" zoomScaleSheetLayoutView="115" workbookViewId="0">
      <selection activeCell="A9" sqref="A9"/>
    </sheetView>
  </sheetViews>
  <sheetFormatPr defaultColWidth="9" defaultRowHeight="16.5" x14ac:dyDescent="0.3"/>
  <cols>
    <col min="1" max="1" width="15.375" customWidth="1"/>
    <col min="2" max="2" width="22.5" customWidth="1"/>
    <col min="3" max="4" width="9.25" customWidth="1"/>
    <col min="5" max="5" width="14.125" customWidth="1"/>
    <col min="6" max="6" width="11.375" customWidth="1"/>
  </cols>
  <sheetData>
    <row r="1" spans="1:10" ht="31.5" customHeight="1" x14ac:dyDescent="0.3">
      <c r="A1" s="14" t="s">
        <v>72</v>
      </c>
      <c r="B1" s="15"/>
      <c r="C1" s="10"/>
      <c r="D1" s="10"/>
      <c r="E1" s="10"/>
      <c r="F1" s="10"/>
      <c r="G1" s="2"/>
    </row>
    <row r="2" spans="1:10" ht="18" customHeight="1" x14ac:dyDescent="0.3">
      <c r="A2" s="16" t="s">
        <v>121</v>
      </c>
      <c r="B2" s="16"/>
      <c r="C2" s="17"/>
      <c r="D2" s="18"/>
      <c r="E2" s="18"/>
      <c r="F2" s="17" t="s">
        <v>73</v>
      </c>
    </row>
    <row r="3" spans="1:10" ht="24.95" customHeight="1" x14ac:dyDescent="0.3">
      <c r="A3" s="20" t="s">
        <v>8</v>
      </c>
      <c r="B3" s="21" t="s">
        <v>9</v>
      </c>
      <c r="C3" s="21" t="s">
        <v>10</v>
      </c>
      <c r="D3" s="22" t="s">
        <v>11</v>
      </c>
      <c r="E3" s="21" t="s">
        <v>12</v>
      </c>
      <c r="F3" s="23" t="s">
        <v>128</v>
      </c>
    </row>
    <row r="4" spans="1:10" ht="15.95" customHeight="1" x14ac:dyDescent="0.3">
      <c r="A4" s="24" t="s">
        <v>13</v>
      </c>
      <c r="B4" s="25" t="s">
        <v>75</v>
      </c>
      <c r="C4" s="25"/>
      <c r="D4" s="26">
        <f>SUM(D5:D38)</f>
        <v>231.59999999999997</v>
      </c>
      <c r="E4" s="25"/>
      <c r="F4" s="27"/>
      <c r="I4" s="8"/>
    </row>
    <row r="5" spans="1:10" ht="15.95" customHeight="1" x14ac:dyDescent="0.3">
      <c r="A5" s="28" t="s">
        <v>14</v>
      </c>
      <c r="B5" s="29" t="s">
        <v>15</v>
      </c>
      <c r="C5" s="12" t="s">
        <v>16</v>
      </c>
      <c r="D5" s="30">
        <v>3</v>
      </c>
      <c r="E5" s="12" t="s">
        <v>76</v>
      </c>
      <c r="F5" s="31">
        <v>29434</v>
      </c>
    </row>
    <row r="6" spans="1:10" ht="15.95" customHeight="1" x14ac:dyDescent="0.3">
      <c r="A6" s="32"/>
      <c r="B6" s="33" t="s">
        <v>17</v>
      </c>
      <c r="C6" s="13" t="s">
        <v>18</v>
      </c>
      <c r="D6" s="34">
        <v>3.6</v>
      </c>
      <c r="E6" s="13" t="s">
        <v>77</v>
      </c>
      <c r="F6" s="35">
        <v>31123</v>
      </c>
    </row>
    <row r="7" spans="1:10" ht="15.95" customHeight="1" x14ac:dyDescent="0.3">
      <c r="A7" s="32"/>
      <c r="B7" s="33" t="s">
        <v>19</v>
      </c>
      <c r="C7" s="13" t="s">
        <v>20</v>
      </c>
      <c r="D7" s="34">
        <v>12.4</v>
      </c>
      <c r="E7" s="13" t="s">
        <v>78</v>
      </c>
      <c r="F7" s="35">
        <v>147573</v>
      </c>
    </row>
    <row r="8" spans="1:10" ht="15.95" customHeight="1" x14ac:dyDescent="0.3">
      <c r="A8" s="32"/>
      <c r="B8" s="33" t="s">
        <v>79</v>
      </c>
      <c r="C8" s="13" t="s">
        <v>80</v>
      </c>
      <c r="D8" s="34">
        <v>7.5</v>
      </c>
      <c r="E8" s="13" t="s">
        <v>81</v>
      </c>
      <c r="F8" s="35">
        <v>58982</v>
      </c>
    </row>
    <row r="9" spans="1:10" ht="15.95" customHeight="1" x14ac:dyDescent="0.3">
      <c r="A9" s="36"/>
      <c r="B9" s="37" t="s">
        <v>82</v>
      </c>
      <c r="C9" s="38" t="s">
        <v>83</v>
      </c>
      <c r="D9" s="39">
        <v>10.3</v>
      </c>
      <c r="E9" s="38" t="s">
        <v>84</v>
      </c>
      <c r="F9" s="40">
        <v>49288</v>
      </c>
    </row>
    <row r="10" spans="1:10" ht="15.95" customHeight="1" x14ac:dyDescent="0.3">
      <c r="A10" s="28" t="s">
        <v>21</v>
      </c>
      <c r="B10" s="29" t="s">
        <v>22</v>
      </c>
      <c r="C10" s="12" t="s">
        <v>23</v>
      </c>
      <c r="D10" s="30">
        <v>7.4</v>
      </c>
      <c r="E10" s="12" t="s">
        <v>85</v>
      </c>
      <c r="F10" s="35">
        <v>112011</v>
      </c>
    </row>
    <row r="11" spans="1:10" ht="15.95" customHeight="1" x14ac:dyDescent="0.3">
      <c r="A11" s="32"/>
      <c r="B11" s="33" t="s">
        <v>24</v>
      </c>
      <c r="C11" s="13" t="s">
        <v>25</v>
      </c>
      <c r="D11" s="34">
        <v>2.2999999999999998</v>
      </c>
      <c r="E11" s="13" t="s">
        <v>86</v>
      </c>
      <c r="F11" s="35">
        <v>72084</v>
      </c>
      <c r="G11" s="9"/>
      <c r="H11" s="9"/>
      <c r="I11" s="9"/>
      <c r="J11" s="9"/>
    </row>
    <row r="12" spans="1:10" ht="15.95" customHeight="1" x14ac:dyDescent="0.3">
      <c r="A12" s="32"/>
      <c r="B12" s="33" t="s">
        <v>26</v>
      </c>
      <c r="C12" s="13" t="s">
        <v>27</v>
      </c>
      <c r="D12" s="34">
        <v>2.4</v>
      </c>
      <c r="E12" s="13" t="s">
        <v>87</v>
      </c>
      <c r="F12" s="35">
        <v>49143</v>
      </c>
      <c r="G12" s="9"/>
      <c r="H12" s="9"/>
      <c r="I12" s="9"/>
      <c r="J12" s="9"/>
    </row>
    <row r="13" spans="1:10" ht="15.95" customHeight="1" x14ac:dyDescent="0.3">
      <c r="A13" s="32"/>
      <c r="B13" s="41" t="s">
        <v>28</v>
      </c>
      <c r="C13" s="13" t="s">
        <v>29</v>
      </c>
      <c r="D13" s="34">
        <v>5.2</v>
      </c>
      <c r="E13" s="13" t="s">
        <v>88</v>
      </c>
      <c r="F13" s="35">
        <v>46791</v>
      </c>
    </row>
    <row r="14" spans="1:10" ht="15.95" customHeight="1" x14ac:dyDescent="0.3">
      <c r="A14" s="32"/>
      <c r="B14" s="33" t="s">
        <v>31</v>
      </c>
      <c r="C14" s="13" t="s">
        <v>32</v>
      </c>
      <c r="D14" s="34">
        <v>3.4</v>
      </c>
      <c r="E14" s="13" t="s">
        <v>89</v>
      </c>
      <c r="F14" s="35">
        <v>60151</v>
      </c>
    </row>
    <row r="15" spans="1:10" ht="15.95" customHeight="1" x14ac:dyDescent="0.3">
      <c r="A15" s="32"/>
      <c r="B15" s="33" t="s">
        <v>33</v>
      </c>
      <c r="C15" s="13" t="s">
        <v>34</v>
      </c>
      <c r="D15" s="34">
        <v>5.6</v>
      </c>
      <c r="E15" s="13" t="s">
        <v>90</v>
      </c>
      <c r="F15" s="35">
        <v>38886</v>
      </c>
    </row>
    <row r="16" spans="1:10" ht="15.95" customHeight="1" x14ac:dyDescent="0.3">
      <c r="A16" s="32"/>
      <c r="B16" s="33" t="s">
        <v>91</v>
      </c>
      <c r="C16" s="13" t="s">
        <v>92</v>
      </c>
      <c r="D16" s="34">
        <v>3.3</v>
      </c>
      <c r="E16" s="13" t="s">
        <v>93</v>
      </c>
      <c r="F16" s="35">
        <v>34947</v>
      </c>
    </row>
    <row r="17" spans="1:6" ht="15.95" customHeight="1" x14ac:dyDescent="0.3">
      <c r="A17" s="28" t="s">
        <v>35</v>
      </c>
      <c r="B17" s="29" t="s">
        <v>36</v>
      </c>
      <c r="C17" s="12" t="s">
        <v>37</v>
      </c>
      <c r="D17" s="30">
        <v>7.3</v>
      </c>
      <c r="E17" s="12" t="s">
        <v>94</v>
      </c>
      <c r="F17" s="31">
        <v>50364</v>
      </c>
    </row>
    <row r="18" spans="1:6" ht="15.95" customHeight="1" x14ac:dyDescent="0.3">
      <c r="A18" s="36"/>
      <c r="B18" s="37" t="s">
        <v>38</v>
      </c>
      <c r="C18" s="38" t="s">
        <v>39</v>
      </c>
      <c r="D18" s="39">
        <v>10.4</v>
      </c>
      <c r="E18" s="38" t="s">
        <v>95</v>
      </c>
      <c r="F18" s="40">
        <v>38931</v>
      </c>
    </row>
    <row r="19" spans="1:6" ht="15.95" customHeight="1" x14ac:dyDescent="0.3">
      <c r="A19" s="42" t="s">
        <v>40</v>
      </c>
      <c r="B19" s="33" t="s">
        <v>41</v>
      </c>
      <c r="C19" s="13" t="s">
        <v>42</v>
      </c>
      <c r="D19" s="34">
        <v>2.2999999999999998</v>
      </c>
      <c r="E19" s="13" t="s">
        <v>96</v>
      </c>
      <c r="F19" s="35">
        <v>12357</v>
      </c>
    </row>
    <row r="20" spans="1:6" ht="15.95" customHeight="1" x14ac:dyDescent="0.3">
      <c r="A20" s="42"/>
      <c r="B20" s="33" t="s">
        <v>43</v>
      </c>
      <c r="C20" s="13" t="s">
        <v>44</v>
      </c>
      <c r="D20" s="34">
        <v>2.6</v>
      </c>
      <c r="E20" s="13" t="s">
        <v>97</v>
      </c>
      <c r="F20" s="35">
        <v>17891</v>
      </c>
    </row>
    <row r="21" spans="1:6" ht="26.1" customHeight="1" x14ac:dyDescent="0.3">
      <c r="A21" s="43" t="s">
        <v>45</v>
      </c>
      <c r="B21" s="68" t="s">
        <v>130</v>
      </c>
      <c r="C21" s="12" t="s">
        <v>46</v>
      </c>
      <c r="D21" s="30">
        <v>5.6</v>
      </c>
      <c r="E21" s="12" t="s">
        <v>98</v>
      </c>
      <c r="F21" s="31">
        <v>69004</v>
      </c>
    </row>
    <row r="22" spans="1:6" ht="26.1" customHeight="1" x14ac:dyDescent="0.3">
      <c r="A22" s="42"/>
      <c r="B22" s="41" t="s">
        <v>131</v>
      </c>
      <c r="C22" s="13" t="s">
        <v>47</v>
      </c>
      <c r="D22" s="34">
        <v>3.5</v>
      </c>
      <c r="E22" s="13" t="s">
        <v>99</v>
      </c>
      <c r="F22" s="35">
        <v>64515</v>
      </c>
    </row>
    <row r="23" spans="1:6" ht="26.1" customHeight="1" x14ac:dyDescent="0.3">
      <c r="A23" s="42"/>
      <c r="B23" s="41" t="s">
        <v>132</v>
      </c>
      <c r="C23" s="13" t="s">
        <v>48</v>
      </c>
      <c r="D23" s="34">
        <v>6.5</v>
      </c>
      <c r="E23" s="13" t="s">
        <v>100</v>
      </c>
      <c r="F23" s="35">
        <v>93547</v>
      </c>
    </row>
    <row r="24" spans="1:6" ht="15.95" customHeight="1" x14ac:dyDescent="0.3">
      <c r="A24" s="47" t="s">
        <v>49</v>
      </c>
      <c r="B24" s="48" t="s">
        <v>50</v>
      </c>
      <c r="C24" s="44" t="s">
        <v>51</v>
      </c>
      <c r="D24" s="45">
        <v>4.9000000000000004</v>
      </c>
      <c r="E24" s="44" t="s">
        <v>101</v>
      </c>
      <c r="F24" s="46">
        <v>69271</v>
      </c>
    </row>
    <row r="25" spans="1:6" ht="15.95" customHeight="1" x14ac:dyDescent="0.3">
      <c r="A25" s="32" t="s">
        <v>52</v>
      </c>
      <c r="B25" s="33" t="s">
        <v>53</v>
      </c>
      <c r="C25" s="13" t="s">
        <v>54</v>
      </c>
      <c r="D25" s="34">
        <v>8.4</v>
      </c>
      <c r="E25" s="13" t="s">
        <v>102</v>
      </c>
      <c r="F25" s="35">
        <v>56547</v>
      </c>
    </row>
    <row r="26" spans="1:6" ht="15.95" customHeight="1" x14ac:dyDescent="0.3">
      <c r="A26" s="28" t="s">
        <v>103</v>
      </c>
      <c r="B26" s="29" t="s">
        <v>55</v>
      </c>
      <c r="C26" s="12" t="s">
        <v>56</v>
      </c>
      <c r="D26" s="30">
        <v>1.8</v>
      </c>
      <c r="E26" s="12" t="s">
        <v>104</v>
      </c>
      <c r="F26" s="31">
        <v>80998</v>
      </c>
    </row>
    <row r="27" spans="1:6" ht="15.95" customHeight="1" x14ac:dyDescent="0.3">
      <c r="A27" s="32"/>
      <c r="B27" s="33" t="s">
        <v>57</v>
      </c>
      <c r="C27" s="13" t="s">
        <v>58</v>
      </c>
      <c r="D27" s="34">
        <v>14.3</v>
      </c>
      <c r="E27" s="13" t="s">
        <v>105</v>
      </c>
      <c r="F27" s="35">
        <v>236343</v>
      </c>
    </row>
    <row r="28" spans="1:6" ht="26.1" customHeight="1" x14ac:dyDescent="0.3">
      <c r="A28" s="32"/>
      <c r="B28" s="41" t="s">
        <v>133</v>
      </c>
      <c r="C28" s="13" t="s">
        <v>59</v>
      </c>
      <c r="D28" s="34">
        <v>11.2</v>
      </c>
      <c r="E28" s="13" t="s">
        <v>106</v>
      </c>
      <c r="F28" s="35">
        <v>32156</v>
      </c>
    </row>
    <row r="29" spans="1:6" ht="26.1" customHeight="1" x14ac:dyDescent="0.3">
      <c r="A29" s="32"/>
      <c r="B29" s="41" t="s">
        <v>134</v>
      </c>
      <c r="C29" s="13" t="s">
        <v>107</v>
      </c>
      <c r="D29" s="34">
        <v>19.399999999999999</v>
      </c>
      <c r="E29" s="13" t="s">
        <v>108</v>
      </c>
      <c r="F29" s="35">
        <v>159053</v>
      </c>
    </row>
    <row r="30" spans="1:6" ht="26.1" customHeight="1" x14ac:dyDescent="0.3">
      <c r="A30" s="32"/>
      <c r="B30" s="41" t="s">
        <v>135</v>
      </c>
      <c r="C30" s="13" t="s">
        <v>60</v>
      </c>
      <c r="D30" s="34">
        <v>4.9000000000000004</v>
      </c>
      <c r="E30" s="13" t="s">
        <v>109</v>
      </c>
      <c r="F30" s="35">
        <v>16443</v>
      </c>
    </row>
    <row r="31" spans="1:6" ht="15.95" customHeight="1" x14ac:dyDescent="0.3">
      <c r="A31" s="32"/>
      <c r="B31" s="33" t="s">
        <v>61</v>
      </c>
      <c r="C31" s="13" t="s">
        <v>62</v>
      </c>
      <c r="D31" s="34">
        <v>8.9</v>
      </c>
      <c r="E31" s="13" t="s">
        <v>110</v>
      </c>
      <c r="F31" s="35">
        <v>36521</v>
      </c>
    </row>
    <row r="32" spans="1:6" ht="15.95" customHeight="1" x14ac:dyDescent="0.3">
      <c r="A32" s="32"/>
      <c r="B32" s="33" t="s">
        <v>111</v>
      </c>
      <c r="C32" s="13" t="s">
        <v>112</v>
      </c>
      <c r="D32" s="34">
        <v>7.7</v>
      </c>
      <c r="E32" s="13" t="s">
        <v>113</v>
      </c>
      <c r="F32" s="35">
        <v>49203</v>
      </c>
    </row>
    <row r="33" spans="1:6" ht="15.95" customHeight="1" x14ac:dyDescent="0.3">
      <c r="A33" s="69" t="s">
        <v>129</v>
      </c>
      <c r="B33" s="48" t="s">
        <v>63</v>
      </c>
      <c r="C33" s="44" t="s">
        <v>64</v>
      </c>
      <c r="D33" s="45">
        <v>3.7</v>
      </c>
      <c r="E33" s="44" t="s">
        <v>114</v>
      </c>
      <c r="F33" s="46">
        <v>5874</v>
      </c>
    </row>
    <row r="34" spans="1:6" ht="15.95" customHeight="1" x14ac:dyDescent="0.3">
      <c r="A34" s="42" t="s">
        <v>65</v>
      </c>
      <c r="B34" s="41" t="s">
        <v>66</v>
      </c>
      <c r="C34" s="13" t="s">
        <v>67</v>
      </c>
      <c r="D34" s="34">
        <v>1.7</v>
      </c>
      <c r="E34" s="13" t="s">
        <v>115</v>
      </c>
      <c r="F34" s="35">
        <v>47744</v>
      </c>
    </row>
    <row r="35" spans="1:6" ht="15.95" customHeight="1" x14ac:dyDescent="0.3">
      <c r="A35" s="32"/>
      <c r="B35" s="33" t="s">
        <v>116</v>
      </c>
      <c r="C35" s="13" t="s">
        <v>30</v>
      </c>
      <c r="D35" s="34">
        <v>8.1999999999999993</v>
      </c>
      <c r="E35" s="13" t="s">
        <v>117</v>
      </c>
      <c r="F35" s="35">
        <v>24508</v>
      </c>
    </row>
    <row r="36" spans="1:6" ht="15.95" customHeight="1" x14ac:dyDescent="0.3">
      <c r="A36" s="32"/>
      <c r="B36" s="33" t="s">
        <v>118</v>
      </c>
      <c r="C36" s="13" t="s">
        <v>68</v>
      </c>
      <c r="D36" s="34">
        <v>22.5</v>
      </c>
      <c r="E36" s="13" t="s">
        <v>119</v>
      </c>
      <c r="F36" s="35">
        <v>53290</v>
      </c>
    </row>
    <row r="37" spans="1:6" ht="15.95" customHeight="1" x14ac:dyDescent="0.3">
      <c r="A37" s="32"/>
      <c r="B37" s="33" t="s">
        <v>69</v>
      </c>
      <c r="C37" s="13" t="s">
        <v>70</v>
      </c>
      <c r="D37" s="34">
        <v>4</v>
      </c>
      <c r="E37" s="13" t="s">
        <v>120</v>
      </c>
      <c r="F37" s="35">
        <v>13472</v>
      </c>
    </row>
    <row r="38" spans="1:6" ht="15.95" customHeight="1" x14ac:dyDescent="0.3">
      <c r="A38" s="49"/>
      <c r="B38" s="50" t="s">
        <v>122</v>
      </c>
      <c r="C38" s="51" t="s">
        <v>123</v>
      </c>
      <c r="D38" s="52">
        <v>5.4</v>
      </c>
      <c r="E38" s="51" t="s">
        <v>124</v>
      </c>
      <c r="F38" s="53">
        <v>11916</v>
      </c>
    </row>
  </sheetData>
  <phoneticPr fontId="6" type="noConversion"/>
  <printOptions horizontalCentered="1"/>
  <pageMargins left="1.1417322834645669" right="1.1417322834645669" top="1.7322834645669292" bottom="1.69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전국 유료도로 현황(전체 현황)</vt:lpstr>
      <vt:lpstr>전국 유료도로 현황(구간별 현황)</vt:lpstr>
      <vt:lpstr>'전국 유료도로 현황(구간별 현황)'!Print_Area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han</cp:lastModifiedBy>
  <cp:lastPrinted>2025-07-03T06:12:12Z</cp:lastPrinted>
  <dcterms:created xsi:type="dcterms:W3CDTF">2020-04-20T01:17:31Z</dcterms:created>
  <dcterms:modified xsi:type="dcterms:W3CDTF">2025-07-03T06:14:12Z</dcterms:modified>
</cp:coreProperties>
</file>